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6138\Sales Data Analysis Project\"/>
    </mc:Choice>
  </mc:AlternateContent>
  <xr:revisionPtr revIDLastSave="0" documentId="13_ncr:1_{2F5B89A1-EF3C-4058-B662-5D9EE87DFAED}" xr6:coauthVersionLast="47" xr6:coauthVersionMax="47" xr10:uidLastSave="{00000000-0000-0000-0000-000000000000}"/>
  <bookViews>
    <workbookView xWindow="-108" yWindow="-108" windowWidth="23256" windowHeight="12456" activeTab="1" xr2:uid="{00000000-000D-0000-FFFF-FFFF00000000}"/>
  </bookViews>
  <sheets>
    <sheet name="Sales_Data" sheetId="1" r:id="rId1"/>
    <sheet name="Dashboard" sheetId="10" r:id="rId2"/>
    <sheet name="Monthly_Sales" sheetId="2" r:id="rId3"/>
    <sheet name="Regional_Sales" sheetId="3" r:id="rId4"/>
    <sheet name="Sheet6" sheetId="8" state="hidden" r:id="rId5"/>
    <sheet name="Category_Sales" sheetId="4" r:id="rId6"/>
    <sheet name="Salesperson_Performance" sheetId="5" r:id="rId7"/>
    <sheet name="Discount_Impact" sheetId="6" r:id="rId8"/>
  </sheets>
  <definedNames>
    <definedName name="_xlnm._FilterDatabase" localSheetId="0" hidden="1">Sales_Data!$A$1:$P$1201</definedName>
    <definedName name="Slicer_Category">#N/A</definedName>
    <definedName name="Slicer_Quarter">#N/A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42" i="10" l="1"/>
  <c r="Q42" i="10"/>
  <c r="G42" i="10"/>
  <c r="B42" i="10"/>
  <c r="Q7" i="10"/>
  <c r="L7" i="10"/>
  <c r="G7" i="10"/>
  <c r="B7" i="10"/>
</calcChain>
</file>

<file path=xl/sharedStrings.xml><?xml version="1.0" encoding="utf-8"?>
<sst xmlns="http://schemas.openxmlformats.org/spreadsheetml/2006/main" count="8536" uniqueCount="103">
  <si>
    <t>Order_ID</t>
  </si>
  <si>
    <t>Date</t>
  </si>
  <si>
    <t>Month</t>
  </si>
  <si>
    <t>Quarter</t>
  </si>
  <si>
    <t>Region</t>
  </si>
  <si>
    <t>Category</t>
  </si>
  <si>
    <t>Product</t>
  </si>
  <si>
    <t>Units_Sold</t>
  </si>
  <si>
    <t>Unit_Price_INR</t>
  </si>
  <si>
    <t>Total_Sales_INR</t>
  </si>
  <si>
    <t>Discount_Pct</t>
  </si>
  <si>
    <t>Net_Sales_INR</t>
  </si>
  <si>
    <t>COGS_INR</t>
  </si>
  <si>
    <t>Profit_INR</t>
  </si>
  <si>
    <t>Profit_Margin_Pct</t>
  </si>
  <si>
    <t>Salesperson</t>
  </si>
  <si>
    <t>23-Jul-2024</t>
  </si>
  <si>
    <t>Jul</t>
  </si>
  <si>
    <t>Q3</t>
  </si>
  <si>
    <t>South</t>
  </si>
  <si>
    <t>Food &amp; Beverages</t>
  </si>
  <si>
    <t>Dairy Products</t>
  </si>
  <si>
    <t>Rohan Das</t>
  </si>
  <si>
    <t>13-Feb-2024</t>
  </si>
  <si>
    <t>Feb</t>
  </si>
  <si>
    <t>Q1</t>
  </si>
  <si>
    <t>North</t>
  </si>
  <si>
    <t>Electronics</t>
  </si>
  <si>
    <t>Smartphone</t>
  </si>
  <si>
    <t>Priya Sharma</t>
  </si>
  <si>
    <t>23-Aug-2024</t>
  </si>
  <si>
    <t>Aug</t>
  </si>
  <si>
    <t>Furniture</t>
  </si>
  <si>
    <t>Bed Frame</t>
  </si>
  <si>
    <t>27-Oct-2024</t>
  </si>
  <si>
    <t>Oct</t>
  </si>
  <si>
    <t>Q4</t>
  </si>
  <si>
    <t>Clothing</t>
  </si>
  <si>
    <t>Jackets</t>
  </si>
  <si>
    <t>Kavitha Nair</t>
  </si>
  <si>
    <t>Sofa</t>
  </si>
  <si>
    <t>Ananya Patel</t>
  </si>
  <si>
    <t>East</t>
  </si>
  <si>
    <t>Arjun Mehta</t>
  </si>
  <si>
    <t>West</t>
  </si>
  <si>
    <t>Sneha Iyer</t>
  </si>
  <si>
    <t>15-Dec-2024</t>
  </si>
  <si>
    <t>Dec</t>
  </si>
  <si>
    <t>Sports</t>
  </si>
  <si>
    <t>Yoga Mat</t>
  </si>
  <si>
    <t>Vikram Singh</t>
  </si>
  <si>
    <t>Dumbbells</t>
  </si>
  <si>
    <t>08-Mar-2024</t>
  </si>
  <si>
    <t>Mar</t>
  </si>
  <si>
    <t>26-May-2024</t>
  </si>
  <si>
    <t>May</t>
  </si>
  <si>
    <t>Q2</t>
  </si>
  <si>
    <t>08-Apr-2024</t>
  </si>
  <si>
    <t>Apr</t>
  </si>
  <si>
    <t>T-Shirts</t>
  </si>
  <si>
    <t>Condiments</t>
  </si>
  <si>
    <t>Rahul Gupta</t>
  </si>
  <si>
    <t>21-Jan-2024</t>
  </si>
  <si>
    <t>Jan</t>
  </si>
  <si>
    <t>Organic Snacks</t>
  </si>
  <si>
    <t>Office Chair</t>
  </si>
  <si>
    <t>Headphones</t>
  </si>
  <si>
    <t>Shoes</t>
  </si>
  <si>
    <t>Frozen Foods</t>
  </si>
  <si>
    <t>Cricket Bat</t>
  </si>
  <si>
    <t>26-Sep-2024</t>
  </si>
  <si>
    <t>Sep</t>
  </si>
  <si>
    <t>Cycling Gear</t>
  </si>
  <si>
    <t>07-Jun-2024</t>
  </si>
  <si>
    <t>Jun</t>
  </si>
  <si>
    <t>Dining Table</t>
  </si>
  <si>
    <t>03-Nov-2024</t>
  </si>
  <si>
    <t>Nov</t>
  </si>
  <si>
    <t>Football</t>
  </si>
  <si>
    <t>Jeans</t>
  </si>
  <si>
    <t>Beverages</t>
  </si>
  <si>
    <t>Wardrobe</t>
  </si>
  <si>
    <t>Dresses</t>
  </si>
  <si>
    <t>Tablet</t>
  </si>
  <si>
    <t>Smart TV</t>
  </si>
  <si>
    <t>Laptop</t>
  </si>
  <si>
    <t>Row Labels</t>
  </si>
  <si>
    <t>Grand Total</t>
  </si>
  <si>
    <t>Sum of Net_Sales_INR</t>
  </si>
  <si>
    <t>Sum of Profit_INR</t>
  </si>
  <si>
    <t>Average of Profit_Margin_Pct</t>
  </si>
  <si>
    <t>Column Labels</t>
  </si>
  <si>
    <t>Count of Order_ID</t>
  </si>
  <si>
    <t>RETAIL SALES PERFORMANCE DASHBOARD 2025</t>
  </si>
  <si>
    <t>TOTAL REVENUE</t>
  </si>
  <si>
    <t>NET SALES</t>
  </si>
  <si>
    <t>TOTAL PROFIT</t>
  </si>
  <si>
    <t>AVG PROFIT MARGIN</t>
  </si>
  <si>
    <t>KEY INSIGHTS</t>
  </si>
  <si>
    <t>BEST SALES MONTH</t>
  </si>
  <si>
    <t>TOP CATEGORY</t>
  </si>
  <si>
    <t>LEADING REGION</t>
  </si>
  <si>
    <t>BEST QUARTER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</si>
</sst>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0&quot;%&quot;"/>
  </numFmts>
  <fonts count="11" x14ac:knownFonts="1">
    <font>
      <sz val="11"/>
      <color theme="1"/>
      <name val="Calibri"/>
      <family val="2"/>
      <scheme val="minor"/>
    </font>
    <font>
      <b/>
      <sz val="10"/>
      <color rgb="FFFFFFFF"/>
      <name val="Arial"/>
    </font>
    <font>
      <sz val="9"/>
      <name val="Arial"/>
    </font>
    <font>
      <b/>
      <sz val="20"/>
      <color theme="0"/>
      <name val="Arial"/>
      <family val="2"/>
    </font>
    <font>
      <b/>
      <sz val="10"/>
      <color theme="0"/>
      <name val="Arial"/>
      <family val="2"/>
    </font>
    <font>
      <b/>
      <sz val="11"/>
      <color theme="0"/>
      <name val="Arial"/>
      <family val="2"/>
    </font>
    <font>
      <b/>
      <sz val="18"/>
      <color theme="0"/>
      <name val="Arial"/>
      <family val="2"/>
    </font>
    <font>
      <b/>
      <sz val="12"/>
      <color theme="0"/>
      <name val="Arial"/>
      <family val="2"/>
    </font>
    <font>
      <b/>
      <sz val="11.5"/>
      <color theme="0"/>
      <name val="Arial"/>
      <family val="2"/>
    </font>
    <font>
      <sz val="11.5"/>
      <color theme="0"/>
      <name val="Calibri"/>
      <family val="2"/>
      <scheme val="minor"/>
    </font>
    <font>
      <b/>
      <sz val="11.5"/>
      <color theme="1"/>
      <name val="Arial"/>
      <family val="2"/>
    </font>
  </fonts>
  <fills count="12">
    <fill>
      <patternFill patternType="none"/>
    </fill>
    <fill>
      <patternFill patternType="gray125"/>
    </fill>
    <fill>
      <patternFill patternType="solid">
        <fgColor rgb="FF1F3864"/>
      </patternFill>
    </fill>
    <fill>
      <patternFill patternType="solid">
        <fgColor rgb="FFFFFFFF"/>
      </patternFill>
    </fill>
    <fill>
      <patternFill patternType="solid">
        <fgColor rgb="FFF2F2F2"/>
      </patternFill>
    </fill>
    <fill>
      <patternFill patternType="solid">
        <fgColor theme="0" tint="-0.14999847407452621"/>
        <bgColor indexed="64"/>
      </patternFill>
    </fill>
    <fill>
      <patternFill patternType="solid">
        <fgColor rgb="FF1F3864"/>
        <bgColor indexed="64"/>
      </patternFill>
    </fill>
    <fill>
      <patternFill patternType="solid">
        <fgColor theme="0"/>
        <bgColor indexed="64"/>
      </patternFill>
    </fill>
    <fill>
      <patternFill patternType="solid">
        <fgColor rgb="FF70AD47"/>
        <bgColor indexed="64"/>
      </patternFill>
    </fill>
    <fill>
      <patternFill patternType="solid">
        <fgColor rgb="FFED7D31"/>
        <bgColor indexed="64"/>
      </patternFill>
    </fill>
    <fill>
      <patternFill patternType="solid">
        <fgColor rgb="FFFFC000"/>
        <bgColor indexed="64"/>
      </patternFill>
    </fill>
    <fill>
      <patternFill patternType="solid">
        <fgColor rgb="FF2E75B6"/>
        <bgColor indexed="64"/>
      </patternFill>
    </fill>
  </fills>
  <borders count="17">
    <border>
      <left/>
      <right/>
      <top/>
      <bottom/>
      <diagonal/>
    </border>
    <border>
      <left style="thin">
        <color rgb="FFBFBFBF"/>
      </left>
      <right style="thin">
        <color rgb="FFBFBFBF"/>
      </right>
      <top style="thin">
        <color rgb="FFBFBFBF"/>
      </top>
      <bottom style="thin">
        <color rgb="FFBFBFBF"/>
      </bottom>
      <diagonal/>
    </border>
    <border>
      <left/>
      <right/>
      <top style="thin">
        <color theme="0"/>
      </top>
      <bottom/>
      <diagonal/>
    </border>
    <border>
      <left style="thin">
        <color theme="0"/>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medium">
        <color theme="0"/>
      </left>
      <right/>
      <top style="medium">
        <color theme="0"/>
      </top>
      <bottom/>
      <diagonal/>
    </border>
    <border>
      <left/>
      <right/>
      <top style="medium">
        <color theme="0"/>
      </top>
      <bottom/>
      <diagonal/>
    </border>
    <border>
      <left style="medium">
        <color theme="0"/>
      </left>
      <right/>
      <top/>
      <bottom/>
      <diagonal/>
    </border>
    <border>
      <left style="medium">
        <color theme="0"/>
      </left>
      <right/>
      <top/>
      <bottom style="medium">
        <color theme="0"/>
      </bottom>
      <diagonal/>
    </border>
    <border>
      <left/>
      <right/>
      <top/>
      <bottom style="medium">
        <color theme="0"/>
      </bottom>
      <diagonal/>
    </border>
    <border>
      <left/>
      <right/>
      <top style="thin">
        <color rgb="FF002060"/>
      </top>
      <bottom/>
      <diagonal/>
    </border>
    <border>
      <left/>
      <right/>
      <top/>
      <bottom style="thin">
        <color rgb="FF002060"/>
      </bottom>
      <diagonal/>
    </border>
  </borders>
  <cellStyleXfs count="1">
    <xf numFmtId="0" fontId="0" fillId="0" borderId="0"/>
  </cellStyleXfs>
  <cellXfs count="6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4" fontId="2" fillId="3" borderId="1" xfId="0" applyNumberFormat="1" applyFont="1" applyFill="1" applyBorder="1" applyAlignment="1">
      <alignment horizontal="center" vertical="center"/>
    </xf>
    <xf numFmtId="2" fontId="2" fillId="3"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4" fontId="2" fillId="4" borderId="1" xfId="0" applyNumberFormat="1" applyFont="1" applyFill="1" applyBorder="1" applyAlignment="1">
      <alignment horizontal="center" vertical="center"/>
    </xf>
    <xf numFmtId="2" fontId="2" fillId="4" borderId="1"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4" fontId="0" fillId="0" borderId="0" xfId="0" applyNumberFormat="1"/>
    <xf numFmtId="2" fontId="0" fillId="0" borderId="0" xfId="0" applyNumberFormat="1"/>
    <xf numFmtId="10" fontId="0" fillId="0" borderId="0" xfId="0" applyNumberFormat="1"/>
    <xf numFmtId="0" fontId="0" fillId="5" borderId="0" xfId="0" applyFill="1"/>
    <xf numFmtId="0" fontId="0" fillId="7" borderId="0" xfId="0" applyFill="1"/>
    <xf numFmtId="0" fontId="0" fillId="0" borderId="8" xfId="0" applyBorder="1"/>
    <xf numFmtId="0" fontId="4" fillId="11" borderId="16" xfId="0" applyFont="1" applyFill="1" applyBorder="1" applyAlignment="1">
      <alignment horizontal="center"/>
    </xf>
    <xf numFmtId="0" fontId="0" fillId="11" borderId="16" xfId="0" applyFill="1" applyBorder="1" applyAlignment="1">
      <alignment horizontal="center"/>
    </xf>
    <xf numFmtId="0" fontId="5" fillId="11" borderId="15" xfId="0" applyFont="1" applyFill="1" applyBorder="1" applyAlignment="1">
      <alignment horizontal="center"/>
    </xf>
    <xf numFmtId="0" fontId="5" fillId="11" borderId="0" xfId="0" applyFont="1" applyFill="1" applyAlignment="1">
      <alignment horizontal="center"/>
    </xf>
    <xf numFmtId="0" fontId="3" fillId="6" borderId="0" xfId="0" applyFont="1" applyFill="1" applyAlignment="1">
      <alignment horizontal="center" vertical="center"/>
    </xf>
    <xf numFmtId="0" fontId="7" fillId="6" borderId="0" xfId="0" applyFont="1" applyFill="1" applyAlignment="1">
      <alignment horizontal="center"/>
    </xf>
    <xf numFmtId="0" fontId="0" fillId="6" borderId="0" xfId="0" applyFill="1" applyAlignment="1">
      <alignment horizontal="center"/>
    </xf>
    <xf numFmtId="0" fontId="8" fillId="6" borderId="10" xfId="0" applyFont="1" applyFill="1" applyBorder="1" applyAlignment="1">
      <alignment horizontal="center" vertical="center"/>
    </xf>
    <xf numFmtId="0" fontId="8" fillId="6" borderId="11" xfId="0" applyFont="1" applyFill="1" applyBorder="1" applyAlignment="1">
      <alignment horizontal="center" vertical="center"/>
    </xf>
    <xf numFmtId="0" fontId="8" fillId="6" borderId="12" xfId="0" applyFont="1" applyFill="1" applyBorder="1" applyAlignment="1">
      <alignment horizontal="center" vertical="center"/>
    </xf>
    <xf numFmtId="0" fontId="8" fillId="6" borderId="0" xfId="0" applyFont="1" applyFill="1" applyAlignment="1">
      <alignment horizontal="center" vertical="center"/>
    </xf>
    <xf numFmtId="164" fontId="6" fillId="6" borderId="12" xfId="0" applyNumberFormat="1" applyFont="1" applyFill="1" applyBorder="1" applyAlignment="1">
      <alignment horizontal="center" vertical="center"/>
    </xf>
    <xf numFmtId="164" fontId="6" fillId="6" borderId="0" xfId="0" applyNumberFormat="1" applyFont="1" applyFill="1" applyAlignment="1">
      <alignment horizontal="center" vertical="center"/>
    </xf>
    <xf numFmtId="164" fontId="6" fillId="6" borderId="13" xfId="0" applyNumberFormat="1" applyFont="1" applyFill="1" applyBorder="1" applyAlignment="1">
      <alignment horizontal="center" vertical="center"/>
    </xf>
    <xf numFmtId="164" fontId="6" fillId="6" borderId="14" xfId="0" applyNumberFormat="1" applyFont="1" applyFill="1" applyBorder="1" applyAlignment="1">
      <alignment horizontal="center" vertical="center"/>
    </xf>
    <xf numFmtId="0" fontId="8" fillId="8" borderId="3" xfId="0" applyFont="1" applyFill="1" applyBorder="1" applyAlignment="1">
      <alignment horizontal="center" vertical="center"/>
    </xf>
    <xf numFmtId="0" fontId="9" fillId="8" borderId="2" xfId="0" applyFont="1" applyFill="1" applyBorder="1" applyAlignment="1">
      <alignment horizontal="center" vertical="center"/>
    </xf>
    <xf numFmtId="0" fontId="9" fillId="8" borderId="4" xfId="0" applyFont="1" applyFill="1" applyBorder="1" applyAlignment="1">
      <alignment horizontal="center" vertical="center"/>
    </xf>
    <xf numFmtId="0" fontId="9" fillId="8" borderId="5" xfId="0" applyFont="1" applyFill="1" applyBorder="1" applyAlignment="1">
      <alignment horizontal="center" vertical="center"/>
    </xf>
    <xf numFmtId="0" fontId="9" fillId="8" borderId="0" xfId="0" applyFont="1" applyFill="1" applyAlignment="1">
      <alignment horizontal="center" vertical="center"/>
    </xf>
    <xf numFmtId="0" fontId="9" fillId="8" borderId="6" xfId="0" applyFont="1" applyFill="1" applyBorder="1" applyAlignment="1">
      <alignment horizontal="center" vertical="center"/>
    </xf>
    <xf numFmtId="164" fontId="6" fillId="8" borderId="5" xfId="0" applyNumberFormat="1" applyFont="1" applyFill="1" applyBorder="1" applyAlignment="1">
      <alignment horizontal="center" vertical="center"/>
    </xf>
    <xf numFmtId="164" fontId="6" fillId="8" borderId="0" xfId="0" applyNumberFormat="1" applyFont="1" applyFill="1" applyAlignment="1">
      <alignment horizontal="center" vertical="center"/>
    </xf>
    <xf numFmtId="164" fontId="6" fillId="8" borderId="6" xfId="0" applyNumberFormat="1" applyFont="1" applyFill="1" applyBorder="1" applyAlignment="1">
      <alignment horizontal="center" vertical="center"/>
    </xf>
    <xf numFmtId="164" fontId="6" fillId="8" borderId="7" xfId="0" applyNumberFormat="1" applyFont="1" applyFill="1" applyBorder="1" applyAlignment="1">
      <alignment horizontal="center" vertical="center"/>
    </xf>
    <xf numFmtId="164" fontId="6" fillId="8" borderId="8" xfId="0" applyNumberFormat="1" applyFont="1" applyFill="1" applyBorder="1" applyAlignment="1">
      <alignment horizontal="center" vertical="center"/>
    </xf>
    <xf numFmtId="164" fontId="6" fillId="8" borderId="9" xfId="0" applyNumberFormat="1" applyFont="1" applyFill="1" applyBorder="1" applyAlignment="1">
      <alignment horizontal="center" vertical="center"/>
    </xf>
    <xf numFmtId="0" fontId="8" fillId="9" borderId="3" xfId="0" applyFont="1" applyFill="1" applyBorder="1" applyAlignment="1">
      <alignment horizontal="center" vertical="center"/>
    </xf>
    <xf numFmtId="0" fontId="8" fillId="9" borderId="2" xfId="0" applyFont="1" applyFill="1" applyBorder="1" applyAlignment="1">
      <alignment horizontal="center" vertical="center"/>
    </xf>
    <xf numFmtId="0" fontId="8" fillId="9" borderId="4" xfId="0" applyFont="1" applyFill="1" applyBorder="1" applyAlignment="1">
      <alignment horizontal="center" vertical="center"/>
    </xf>
    <xf numFmtId="0" fontId="8" fillId="9" borderId="5" xfId="0" applyFont="1" applyFill="1" applyBorder="1" applyAlignment="1">
      <alignment horizontal="center" vertical="center"/>
    </xf>
    <xf numFmtId="0" fontId="8" fillId="9" borderId="0" xfId="0" applyFont="1" applyFill="1" applyAlignment="1">
      <alignment horizontal="center" vertical="center"/>
    </xf>
    <xf numFmtId="0" fontId="8" fillId="9" borderId="6" xfId="0" applyFont="1" applyFill="1" applyBorder="1" applyAlignment="1">
      <alignment horizontal="center" vertical="center"/>
    </xf>
    <xf numFmtId="164" fontId="6" fillId="9" borderId="5" xfId="0" applyNumberFormat="1" applyFont="1" applyFill="1" applyBorder="1" applyAlignment="1">
      <alignment horizontal="center" vertical="center"/>
    </xf>
    <xf numFmtId="164" fontId="6" fillId="9" borderId="0" xfId="0" applyNumberFormat="1" applyFont="1" applyFill="1" applyAlignment="1">
      <alignment horizontal="center" vertical="center"/>
    </xf>
    <xf numFmtId="164" fontId="6" fillId="9" borderId="6" xfId="0" applyNumberFormat="1" applyFont="1" applyFill="1" applyBorder="1" applyAlignment="1">
      <alignment horizontal="center" vertical="center"/>
    </xf>
    <xf numFmtId="164" fontId="6" fillId="9" borderId="7" xfId="0" applyNumberFormat="1" applyFont="1" applyFill="1" applyBorder="1" applyAlignment="1">
      <alignment horizontal="center" vertical="center"/>
    </xf>
    <xf numFmtId="164" fontId="6" fillId="9" borderId="8" xfId="0" applyNumberFormat="1" applyFont="1" applyFill="1" applyBorder="1" applyAlignment="1">
      <alignment horizontal="center" vertical="center"/>
    </xf>
    <xf numFmtId="164" fontId="6" fillId="9" borderId="9" xfId="0" applyNumberFormat="1" applyFont="1" applyFill="1" applyBorder="1" applyAlignment="1">
      <alignment horizontal="center" vertical="center"/>
    </xf>
    <xf numFmtId="0" fontId="8" fillId="10" borderId="3" xfId="0" applyFont="1" applyFill="1" applyBorder="1" applyAlignment="1">
      <alignment horizontal="center" vertical="center"/>
    </xf>
    <xf numFmtId="0" fontId="10" fillId="10" borderId="2" xfId="0" applyFont="1" applyFill="1" applyBorder="1" applyAlignment="1">
      <alignment horizontal="center" vertical="center"/>
    </xf>
    <xf numFmtId="0" fontId="10" fillId="10" borderId="4" xfId="0" applyFont="1" applyFill="1" applyBorder="1" applyAlignment="1">
      <alignment horizontal="center" vertical="center"/>
    </xf>
    <xf numFmtId="0" fontId="10" fillId="10" borderId="5" xfId="0" applyFont="1" applyFill="1" applyBorder="1" applyAlignment="1">
      <alignment horizontal="center" vertical="center"/>
    </xf>
    <xf numFmtId="0" fontId="10" fillId="10" borderId="0" xfId="0" applyFont="1" applyFill="1" applyAlignment="1">
      <alignment horizontal="center" vertical="center"/>
    </xf>
    <xf numFmtId="0" fontId="10" fillId="10" borderId="6" xfId="0" applyFont="1" applyFill="1" applyBorder="1" applyAlignment="1">
      <alignment horizontal="center" vertical="center"/>
    </xf>
    <xf numFmtId="165" fontId="6" fillId="10" borderId="5" xfId="0" applyNumberFormat="1" applyFont="1" applyFill="1" applyBorder="1" applyAlignment="1">
      <alignment horizontal="center" vertical="center"/>
    </xf>
    <xf numFmtId="165" fontId="6" fillId="10" borderId="0" xfId="0" applyNumberFormat="1" applyFont="1" applyFill="1" applyAlignment="1">
      <alignment horizontal="center" vertical="center"/>
    </xf>
    <xf numFmtId="165" fontId="6" fillId="10" borderId="6" xfId="0" applyNumberFormat="1" applyFont="1" applyFill="1" applyBorder="1" applyAlignment="1">
      <alignment horizontal="center" vertical="center"/>
    </xf>
    <xf numFmtId="165" fontId="6" fillId="10" borderId="7" xfId="0" applyNumberFormat="1" applyFont="1" applyFill="1" applyBorder="1" applyAlignment="1">
      <alignment horizontal="center" vertical="center"/>
    </xf>
    <xf numFmtId="165" fontId="6" fillId="10" borderId="8" xfId="0" applyNumberFormat="1" applyFont="1" applyFill="1" applyBorder="1" applyAlignment="1">
      <alignment horizontal="center" vertical="center"/>
    </xf>
    <xf numFmtId="165" fontId="6" fillId="10" borderId="9" xfId="0" applyNumberFormat="1" applyFont="1" applyFill="1" applyBorder="1" applyAlignment="1">
      <alignment horizontal="center" vertical="center"/>
    </xf>
  </cellXfs>
  <cellStyles count="1">
    <cellStyle name="Normal" xfId="0" builtinId="0"/>
  </cellStyles>
  <dxfs count="0"/>
  <tableStyles count="0" defaultTableStyle="TableStyleMedium9" defaultPivotStyle="PivotStyleLight16"/>
  <colors>
    <mruColors>
      <color rgb="FF1F3864"/>
      <color rgb="FF2E75B6"/>
      <color rgb="FFED7D31"/>
      <color rgb="FFBDD7EE"/>
      <color rgb="FFFFC000"/>
      <color rgb="FF70AD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[Retail_Sales_Dashboard.xlsx]Sheet6!MonthSales</c:name>
    <c:fmtId val="45"/>
  </c:pivotSource>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US" b="1">
                <a:solidFill>
                  <a:schemeClr val="tx1">
                    <a:lumMod val="85000"/>
                    <a:lumOff val="15000"/>
                  </a:schemeClr>
                </a:solidFill>
              </a:rPr>
              <a:t>Monthly</a:t>
            </a:r>
            <a:r>
              <a:rPr lang="en-US" b="1" baseline="0">
                <a:solidFill>
                  <a:schemeClr val="tx1">
                    <a:lumMod val="85000"/>
                    <a:lumOff val="15000"/>
                  </a:schemeClr>
                </a:solidFill>
              </a:rPr>
              <a:t> Net Sales Trend - 2025</a:t>
            </a:r>
          </a:p>
        </c:rich>
      </c:tx>
      <c:layout>
        <c:manualLayout>
          <c:xMode val="edge"/>
          <c:yMode val="edge"/>
          <c:x val="0.20722108077303625"/>
          <c:y val="1.99923651204067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layout>
            <c:manualLayout>
              <c:x val="0"/>
              <c:y val="-4.8535462672429107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layout>
            <c:manualLayout>
              <c:x val="-7.7302984532593849E-2"/>
              <c:y val="3.2918171412783928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layout>
            <c:manualLayout>
              <c:x val="-3.4458516977830603E-2"/>
              <c:y val="2.3519675172182425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layout>
            <c:manualLayout>
              <c:x val="-0.14326458013503029"/>
              <c:y val="-2.347280603082515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layout>
            <c:manualLayout>
              <c:x val="-6.4974464788287001E-2"/>
              <c:y val="4.3403038816127885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layout>
            <c:manualLayout>
              <c:x val="-4.2117683331752205E-2"/>
              <c:y val="-4.5402630592228606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layout>
            <c:manualLayout>
              <c:x val="-6.7492771581990907E-2"/>
              <c:y val="2.6652507252382926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layout>
            <c:manualLayout>
              <c:x val="-1.0240140972944324E-2"/>
              <c:y val="2.9785339332583427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layout>
            <c:manualLayout>
              <c:x val="-0.10525697849089628"/>
              <c:y val="-2.9738470191226097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layout>
            <c:manualLayout>
              <c:x val="-7.7302984532593849E-2"/>
              <c:y val="3.2918171412783928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layout>
            <c:manualLayout>
              <c:x val="-3.4458516977830603E-2"/>
              <c:y val="2.3519675172182425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layout>
            <c:manualLayout>
              <c:x val="-0.14326458013503029"/>
              <c:y val="-2.347280603082515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layout>
            <c:manualLayout>
              <c:x val="-6.4974464788287001E-2"/>
              <c:y val="4.3403038816127885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layout>
            <c:manualLayout>
              <c:x val="-4.2117683331752205E-2"/>
              <c:y val="-4.5402630592228606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layout>
            <c:manualLayout>
              <c:x val="-6.7492771581990907E-2"/>
              <c:y val="2.6652507252382926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layout>
            <c:manualLayout>
              <c:x val="-1.0240140972944324E-2"/>
              <c:y val="2.9785339332583427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layout>
            <c:manualLayout>
              <c:x val="-0.10525697849089628"/>
              <c:y val="-2.9738470191226097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layout>
            <c:manualLayout>
              <c:x val="0"/>
              <c:y val="-4.8535462672429107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layout>
            <c:manualLayout>
              <c:x val="-9.5121753309389503E-2"/>
              <c:y val="7.3270371934027467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layout>
            <c:manualLayout>
              <c:x val="-5.2321341375220966E-2"/>
              <c:y val="4.8488353987200319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layout>
            <c:manualLayout>
              <c:x val="-0.13731017473500473"/>
              <c:y val="-5.8429026874930248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layout>
            <c:manualLayout>
              <c:x val="-8.5784206646894123E-2"/>
              <c:y val="-6.7343991045112156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layout>
            <c:manualLayout>
              <c:x val="-9.0966499195742401E-2"/>
              <c:y val="6.0310329355321005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layout>
            <c:manualLayout>
              <c:x val="-7.3447116996410336E-2"/>
              <c:y val="5.1032396463072935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layout>
            <c:manualLayout>
              <c:x val="-3.1049833599861801E-2"/>
              <c:y val="5.4691723863476011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layout>
            <c:manualLayout>
              <c:x val="-0.10525697849089628"/>
              <c:y val="-2.9738470191226097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layout>
            <c:manualLayout>
              <c:x val="0"/>
              <c:y val="-4.8535462672429107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layout>
            <c:manualLayout>
              <c:x val="-9.6109761497818413E-2"/>
              <c:y val="-0.10233415697148618"/>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layout>
            <c:manualLayout>
              <c:x val="-8.3915665676481691E-2"/>
              <c:y val="-5.7852808787459353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63288168586738"/>
          <c:y val="0.15202094176268752"/>
          <c:w val="0.80400987599380402"/>
          <c:h val="0.72989127367143625"/>
        </c:manualLayout>
      </c:layout>
      <c:lineChart>
        <c:grouping val="standard"/>
        <c:varyColors val="0"/>
        <c:ser>
          <c:idx val="0"/>
          <c:order val="0"/>
          <c:tx>
            <c:strRef>
              <c:f>Sheet6!$B$3</c:f>
              <c:strCache>
                <c:ptCount val="1"/>
                <c:pt idx="0">
                  <c:v>Total</c:v>
                </c:pt>
              </c:strCache>
            </c:strRef>
          </c:tx>
          <c:spPr>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Pt>
            <c:idx val="1"/>
            <c:marker>
              <c:symbol val="circle"/>
              <c:size val="5"/>
              <c:spPr>
                <a:solidFill>
                  <a:schemeClr val="tx2">
                    <a:lumMod val="75000"/>
                  </a:schemeClr>
                </a:solidFill>
                <a:ln w="9525">
                  <a:solidFill>
                    <a:schemeClr val="accent1"/>
                  </a:solidFill>
                </a:ln>
                <a:effectLst/>
              </c:spPr>
            </c:marker>
            <c:bubble3D val="0"/>
            <c:spPr>
              <a:ln w="28575" cap="rnd">
                <a:solidFill>
                  <a:schemeClr val="tx2">
                    <a:lumMod val="60000"/>
                    <a:lumOff val="40000"/>
                  </a:schemeClr>
                </a:solidFill>
                <a:round/>
              </a:ln>
              <a:effectLst/>
            </c:spPr>
            <c:extLst>
              <c:ext xmlns:c16="http://schemas.microsoft.com/office/drawing/2014/chart" uri="{C3380CC4-5D6E-409C-BE32-E72D297353CC}">
                <c16:uniqueId val="{00000000-A744-45DC-8931-ED2C07EFD3AB}"/>
              </c:ext>
            </c:extLst>
          </c:dPt>
          <c:dPt>
            <c:idx val="2"/>
            <c:marker>
              <c:symbol val="circle"/>
              <c:size val="5"/>
              <c:spPr>
                <a:solidFill>
                  <a:schemeClr val="tx2">
                    <a:lumMod val="75000"/>
                  </a:schemeClr>
                </a:solidFill>
                <a:ln w="9525">
                  <a:solidFill>
                    <a:schemeClr val="accent1"/>
                  </a:solidFill>
                </a:ln>
                <a:effectLst/>
              </c:spPr>
            </c:marker>
            <c:bubble3D val="0"/>
            <c:spPr>
              <a:ln w="28575" cap="rnd">
                <a:solidFill>
                  <a:schemeClr val="tx2">
                    <a:lumMod val="60000"/>
                    <a:lumOff val="40000"/>
                  </a:schemeClr>
                </a:solidFill>
                <a:round/>
              </a:ln>
              <a:effectLst/>
            </c:spPr>
            <c:extLst>
              <c:ext xmlns:c16="http://schemas.microsoft.com/office/drawing/2014/chart" uri="{C3380CC4-5D6E-409C-BE32-E72D297353CC}">
                <c16:uniqueId val="{00000001-A744-45DC-8931-ED2C07EFD3AB}"/>
              </c:ext>
            </c:extLst>
          </c:dPt>
          <c:dPt>
            <c:idx val="3"/>
            <c:marker>
              <c:symbol val="circle"/>
              <c:size val="5"/>
              <c:spPr>
                <a:solidFill>
                  <a:schemeClr val="tx2">
                    <a:lumMod val="75000"/>
                  </a:schemeClr>
                </a:solidFill>
                <a:ln w="9525">
                  <a:solidFill>
                    <a:schemeClr val="accent1"/>
                  </a:solidFill>
                </a:ln>
                <a:effectLst/>
              </c:spPr>
            </c:marker>
            <c:bubble3D val="0"/>
            <c:spPr>
              <a:ln w="28575" cap="rnd">
                <a:solidFill>
                  <a:schemeClr val="tx2">
                    <a:lumMod val="60000"/>
                    <a:lumOff val="40000"/>
                  </a:schemeClr>
                </a:solidFill>
                <a:round/>
              </a:ln>
              <a:effectLst/>
            </c:spPr>
            <c:extLst>
              <c:ext xmlns:c16="http://schemas.microsoft.com/office/drawing/2014/chart" uri="{C3380CC4-5D6E-409C-BE32-E72D297353CC}">
                <c16:uniqueId val="{00000002-A744-45DC-8931-ED2C07EFD3AB}"/>
              </c:ext>
            </c:extLst>
          </c:dPt>
          <c:dPt>
            <c:idx val="4"/>
            <c:marker>
              <c:symbol val="circle"/>
              <c:size val="5"/>
              <c:spPr>
                <a:solidFill>
                  <a:schemeClr val="tx2">
                    <a:lumMod val="75000"/>
                  </a:schemeClr>
                </a:solidFill>
                <a:ln w="9525">
                  <a:solidFill>
                    <a:schemeClr val="accent1"/>
                  </a:solidFill>
                </a:ln>
                <a:effectLst/>
              </c:spPr>
            </c:marker>
            <c:bubble3D val="0"/>
            <c:extLst>
              <c:ext xmlns:c16="http://schemas.microsoft.com/office/drawing/2014/chart" uri="{C3380CC4-5D6E-409C-BE32-E72D297353CC}">
                <c16:uniqueId val="{00000012-0AB3-4B90-96E6-D456EAA55945}"/>
              </c:ext>
            </c:extLst>
          </c:dPt>
          <c:dPt>
            <c:idx val="5"/>
            <c:marker>
              <c:symbol val="circle"/>
              <c:size val="5"/>
              <c:spPr>
                <a:solidFill>
                  <a:schemeClr val="tx2">
                    <a:lumMod val="75000"/>
                  </a:schemeClr>
                </a:solidFill>
                <a:ln w="9525">
                  <a:solidFill>
                    <a:schemeClr val="accent1"/>
                  </a:solidFill>
                </a:ln>
                <a:effectLst/>
              </c:spPr>
            </c:marker>
            <c:bubble3D val="0"/>
            <c:spPr>
              <a:ln w="28575" cap="rnd">
                <a:solidFill>
                  <a:schemeClr val="tx2">
                    <a:lumMod val="60000"/>
                    <a:lumOff val="40000"/>
                  </a:schemeClr>
                </a:solidFill>
                <a:round/>
              </a:ln>
              <a:effectLst/>
            </c:spPr>
            <c:extLst>
              <c:ext xmlns:c16="http://schemas.microsoft.com/office/drawing/2014/chart" uri="{C3380CC4-5D6E-409C-BE32-E72D297353CC}">
                <c16:uniqueId val="{00000003-A744-45DC-8931-ED2C07EFD3AB}"/>
              </c:ext>
            </c:extLst>
          </c:dPt>
          <c:dPt>
            <c:idx val="6"/>
            <c:marker>
              <c:symbol val="circle"/>
              <c:size val="5"/>
              <c:spPr>
                <a:solidFill>
                  <a:schemeClr val="tx2">
                    <a:lumMod val="75000"/>
                  </a:schemeClr>
                </a:solidFill>
                <a:ln w="9525">
                  <a:solidFill>
                    <a:schemeClr val="accent1"/>
                  </a:solidFill>
                </a:ln>
                <a:effectLst/>
              </c:spPr>
            </c:marker>
            <c:bubble3D val="0"/>
            <c:spPr>
              <a:ln w="28575" cap="rnd">
                <a:solidFill>
                  <a:schemeClr val="tx2">
                    <a:lumMod val="60000"/>
                    <a:lumOff val="40000"/>
                  </a:schemeClr>
                </a:solidFill>
                <a:round/>
              </a:ln>
              <a:effectLst/>
            </c:spPr>
            <c:extLst>
              <c:ext xmlns:c16="http://schemas.microsoft.com/office/drawing/2014/chart" uri="{C3380CC4-5D6E-409C-BE32-E72D297353CC}">
                <c16:uniqueId val="{00000004-A744-45DC-8931-ED2C07EFD3AB}"/>
              </c:ext>
            </c:extLst>
          </c:dPt>
          <c:dPt>
            <c:idx val="7"/>
            <c:marker>
              <c:symbol val="circle"/>
              <c:size val="5"/>
              <c:spPr>
                <a:solidFill>
                  <a:schemeClr val="tx2">
                    <a:lumMod val="75000"/>
                  </a:schemeClr>
                </a:solidFill>
                <a:ln w="9525">
                  <a:solidFill>
                    <a:schemeClr val="accent1"/>
                  </a:solidFill>
                </a:ln>
                <a:effectLst/>
              </c:spPr>
            </c:marker>
            <c:bubble3D val="0"/>
            <c:extLst>
              <c:ext xmlns:c16="http://schemas.microsoft.com/office/drawing/2014/chart" uri="{C3380CC4-5D6E-409C-BE32-E72D297353CC}">
                <c16:uniqueId val="{00000013-0AB3-4B90-96E6-D456EAA55945}"/>
              </c:ext>
            </c:extLst>
          </c:dPt>
          <c:dPt>
            <c:idx val="8"/>
            <c:marker>
              <c:symbol val="circle"/>
              <c:size val="5"/>
              <c:spPr>
                <a:solidFill>
                  <a:schemeClr val="tx2">
                    <a:lumMod val="75000"/>
                  </a:schemeClr>
                </a:solidFill>
                <a:ln w="9525">
                  <a:solidFill>
                    <a:schemeClr val="accent1"/>
                  </a:solidFill>
                </a:ln>
                <a:effectLst/>
              </c:spPr>
            </c:marker>
            <c:bubble3D val="0"/>
            <c:spPr>
              <a:ln w="28575" cap="rnd">
                <a:solidFill>
                  <a:schemeClr val="tx2">
                    <a:lumMod val="60000"/>
                    <a:lumOff val="40000"/>
                  </a:schemeClr>
                </a:solidFill>
                <a:round/>
              </a:ln>
              <a:effectLst/>
            </c:spPr>
            <c:extLst>
              <c:ext xmlns:c16="http://schemas.microsoft.com/office/drawing/2014/chart" uri="{C3380CC4-5D6E-409C-BE32-E72D297353CC}">
                <c16:uniqueId val="{00000005-A744-45DC-8931-ED2C07EFD3AB}"/>
              </c:ext>
            </c:extLst>
          </c:dPt>
          <c:dPt>
            <c:idx val="9"/>
            <c:marker>
              <c:symbol val="circle"/>
              <c:size val="5"/>
              <c:spPr>
                <a:solidFill>
                  <a:schemeClr val="tx2">
                    <a:lumMod val="75000"/>
                  </a:schemeClr>
                </a:solidFill>
                <a:ln w="9525">
                  <a:solidFill>
                    <a:schemeClr val="accent1"/>
                  </a:solidFill>
                </a:ln>
                <a:effectLst/>
              </c:spPr>
            </c:marker>
            <c:bubble3D val="0"/>
            <c:spPr>
              <a:ln w="28575" cap="rnd">
                <a:solidFill>
                  <a:schemeClr val="tx2">
                    <a:lumMod val="60000"/>
                    <a:lumOff val="40000"/>
                  </a:schemeClr>
                </a:solidFill>
                <a:round/>
              </a:ln>
              <a:effectLst/>
            </c:spPr>
            <c:extLst>
              <c:ext xmlns:c16="http://schemas.microsoft.com/office/drawing/2014/chart" uri="{C3380CC4-5D6E-409C-BE32-E72D297353CC}">
                <c16:uniqueId val="{00000006-A744-45DC-8931-ED2C07EFD3AB}"/>
              </c:ext>
            </c:extLst>
          </c:dPt>
          <c:dPt>
            <c:idx val="10"/>
            <c:marker>
              <c:symbol val="circle"/>
              <c:size val="5"/>
              <c:spPr>
                <a:solidFill>
                  <a:schemeClr val="tx2">
                    <a:lumMod val="75000"/>
                  </a:schemeClr>
                </a:solidFill>
                <a:ln w="9525">
                  <a:solidFill>
                    <a:schemeClr val="accent1"/>
                  </a:solidFill>
                </a:ln>
                <a:effectLst/>
              </c:spPr>
            </c:marker>
            <c:bubble3D val="0"/>
            <c:spPr>
              <a:ln w="28575" cap="rnd">
                <a:solidFill>
                  <a:schemeClr val="tx2">
                    <a:lumMod val="60000"/>
                    <a:lumOff val="40000"/>
                  </a:schemeClr>
                </a:solidFill>
                <a:round/>
              </a:ln>
              <a:effectLst/>
            </c:spPr>
            <c:extLst>
              <c:ext xmlns:c16="http://schemas.microsoft.com/office/drawing/2014/chart" uri="{C3380CC4-5D6E-409C-BE32-E72D297353CC}">
                <c16:uniqueId val="{00000007-A744-45DC-8931-ED2C07EFD3AB}"/>
              </c:ext>
            </c:extLst>
          </c:dPt>
          <c:dPt>
            <c:idx val="11"/>
            <c:marker>
              <c:symbol val="circle"/>
              <c:size val="5"/>
              <c:spPr>
                <a:solidFill>
                  <a:schemeClr val="tx2">
                    <a:lumMod val="75000"/>
                  </a:schemeClr>
                </a:solidFill>
                <a:ln w="9525">
                  <a:solidFill>
                    <a:schemeClr val="accent1"/>
                  </a:solidFill>
                </a:ln>
                <a:effectLst/>
              </c:spPr>
            </c:marker>
            <c:bubble3D val="0"/>
            <c:spPr>
              <a:ln w="28575" cap="rnd">
                <a:solidFill>
                  <a:schemeClr val="tx2">
                    <a:lumMod val="60000"/>
                    <a:lumOff val="40000"/>
                  </a:schemeClr>
                </a:solidFill>
                <a:round/>
              </a:ln>
              <a:effectLst/>
            </c:spPr>
            <c:extLst>
              <c:ext xmlns:c16="http://schemas.microsoft.com/office/drawing/2014/chart" uri="{C3380CC4-5D6E-409C-BE32-E72D297353CC}">
                <c16:uniqueId val="{00000008-A744-45DC-8931-ED2C07EFD3AB}"/>
              </c:ext>
            </c:extLst>
          </c:dPt>
          <c:dLbls>
            <c:dLbl>
              <c:idx val="1"/>
              <c:layout>
                <c:manualLayout>
                  <c:x val="-9.5121753309389503E-2"/>
                  <c:y val="7.32703719340274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744-45DC-8931-ED2C07EFD3AB}"/>
                </c:ext>
              </c:extLst>
            </c:dLbl>
            <c:dLbl>
              <c:idx val="2"/>
              <c:layout>
                <c:manualLayout>
                  <c:x val="-5.2321341375220966E-2"/>
                  <c:y val="4.84883539872003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744-45DC-8931-ED2C07EFD3AB}"/>
                </c:ext>
              </c:extLst>
            </c:dLbl>
            <c:dLbl>
              <c:idx val="3"/>
              <c:layout>
                <c:manualLayout>
                  <c:x val="-0.13731017473500473"/>
                  <c:y val="-5.84290268749302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744-45DC-8931-ED2C07EFD3AB}"/>
                </c:ext>
              </c:extLst>
            </c:dLbl>
            <c:dLbl>
              <c:idx val="4"/>
              <c:layout>
                <c:manualLayout>
                  <c:x val="-9.6109761497818413E-2"/>
                  <c:y val="-0.1023341569714861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0AB3-4B90-96E6-D456EAA55945}"/>
                </c:ext>
              </c:extLst>
            </c:dLbl>
            <c:dLbl>
              <c:idx val="5"/>
              <c:layout>
                <c:manualLayout>
                  <c:x val="-8.5784206646894123E-2"/>
                  <c:y val="-6.73439910451121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744-45DC-8931-ED2C07EFD3AB}"/>
                </c:ext>
              </c:extLst>
            </c:dLbl>
            <c:dLbl>
              <c:idx val="6"/>
              <c:layout>
                <c:manualLayout>
                  <c:x val="-9.0966499195742401E-2"/>
                  <c:y val="6.03103293553210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744-45DC-8931-ED2C07EFD3AB}"/>
                </c:ext>
              </c:extLst>
            </c:dLbl>
            <c:dLbl>
              <c:idx val="7"/>
              <c:layout>
                <c:manualLayout>
                  <c:x val="-8.3915665676481691E-2"/>
                  <c:y val="-5.78528087874593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0AB3-4B90-96E6-D456EAA55945}"/>
                </c:ext>
              </c:extLst>
            </c:dLbl>
            <c:dLbl>
              <c:idx val="8"/>
              <c:layout>
                <c:manualLayout>
                  <c:x val="-7.3447116996410336E-2"/>
                  <c:y val="5.10323964630729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744-45DC-8931-ED2C07EFD3AB}"/>
                </c:ext>
              </c:extLst>
            </c:dLbl>
            <c:dLbl>
              <c:idx val="9"/>
              <c:layout>
                <c:manualLayout>
                  <c:x val="-3.1049833599861801E-2"/>
                  <c:y val="5.46917238634760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744-45DC-8931-ED2C07EFD3AB}"/>
                </c:ext>
              </c:extLst>
            </c:dLbl>
            <c:dLbl>
              <c:idx val="10"/>
              <c:layout>
                <c:manualLayout>
                  <c:x val="-0.10525697849089628"/>
                  <c:y val="-2.97384701912260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744-45DC-8931-ED2C07EFD3AB}"/>
                </c:ext>
              </c:extLst>
            </c:dLbl>
            <c:dLbl>
              <c:idx val="11"/>
              <c:layout>
                <c:manualLayout>
                  <c:x val="0"/>
                  <c:y val="-4.85354626724291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744-45DC-8931-ED2C07EFD3AB}"/>
                </c:ext>
              </c:extLst>
            </c:dLbl>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Sheet6!$B$4:$B$16</c:f>
              <c:numCache>
                <c:formatCode>#,##0.00</c:formatCode>
                <c:ptCount val="12"/>
                <c:pt idx="0">
                  <c:v>31228108.299999997</c:v>
                </c:pt>
                <c:pt idx="1">
                  <c:v>30423789.699999992</c:v>
                </c:pt>
                <c:pt idx="2">
                  <c:v>34319897.200000003</c:v>
                </c:pt>
                <c:pt idx="3">
                  <c:v>39904058.150000013</c:v>
                </c:pt>
                <c:pt idx="4">
                  <c:v>42018416.000000007</c:v>
                </c:pt>
                <c:pt idx="5">
                  <c:v>37970771.549999997</c:v>
                </c:pt>
                <c:pt idx="6">
                  <c:v>38465534.250000007</c:v>
                </c:pt>
                <c:pt idx="7">
                  <c:v>43529181.25</c:v>
                </c:pt>
                <c:pt idx="8">
                  <c:v>40714356.95000001</c:v>
                </c:pt>
                <c:pt idx="9">
                  <c:v>46957303.050000004</c:v>
                </c:pt>
                <c:pt idx="10">
                  <c:v>50980038.449999988</c:v>
                </c:pt>
                <c:pt idx="11">
                  <c:v>53471179.899999991</c:v>
                </c:pt>
              </c:numCache>
            </c:numRef>
          </c:val>
          <c:smooth val="0"/>
          <c:extLst>
            <c:ext xmlns:c16="http://schemas.microsoft.com/office/drawing/2014/chart" uri="{C3380CC4-5D6E-409C-BE32-E72D297353CC}">
              <c16:uniqueId val="{00000009-A744-45DC-8931-ED2C07EFD3AB}"/>
            </c:ext>
          </c:extLst>
        </c:ser>
        <c:dLbls>
          <c:dLblPos val="t"/>
          <c:showLegendKey val="0"/>
          <c:showVal val="1"/>
          <c:showCatName val="0"/>
          <c:showSerName val="0"/>
          <c:showPercent val="0"/>
          <c:showBubbleSize val="0"/>
        </c:dLbls>
        <c:marker val="1"/>
        <c:smooth val="0"/>
        <c:axId val="553541552"/>
        <c:axId val="834954512"/>
      </c:lineChart>
      <c:catAx>
        <c:axId val="55354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834954512"/>
        <c:crosses val="autoZero"/>
        <c:auto val="1"/>
        <c:lblAlgn val="ctr"/>
        <c:lblOffset val="100"/>
        <c:noMultiLvlLbl val="0"/>
      </c:catAx>
      <c:valAx>
        <c:axId val="834954512"/>
        <c:scaling>
          <c:orientation val="minMax"/>
        </c:scaling>
        <c:delete val="0"/>
        <c:axPos val="l"/>
        <c:numFmt formatCode="[$₹-4009]\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55354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[Retail_Sales_Dashboard.xlsx]Sheet6!Discount</c:name>
    <c:fmtId val="5"/>
  </c:pivotSource>
  <c:chart>
    <c:title>
      <c:tx>
        <c:rich>
          <a:bodyPr rot="0" spcFirstLastPara="1" vertOverflow="ellipsis" vert="horz" wrap="square" anchor="ctr" anchorCtr="1"/>
          <a:lstStyle/>
          <a:p>
            <a:pPr>
              <a:defRPr sz="1300" b="1" i="0" u="none" strike="noStrike" kern="1200" spc="0" baseline="0">
                <a:solidFill>
                  <a:schemeClr val="tx1">
                    <a:lumMod val="85000"/>
                    <a:lumOff val="15000"/>
                  </a:schemeClr>
                </a:solidFill>
                <a:latin typeface="+mn-lt"/>
                <a:ea typeface="+mn-ea"/>
                <a:cs typeface="+mn-cs"/>
              </a:defRPr>
            </a:pPr>
            <a:r>
              <a:rPr lang="en-IN" sz="1300" b="1">
                <a:solidFill>
                  <a:schemeClr val="tx1">
                    <a:lumMod val="85000"/>
                    <a:lumOff val="15000"/>
                  </a:schemeClr>
                </a:solidFill>
              </a:rPr>
              <a:t>Discount</a:t>
            </a:r>
            <a:r>
              <a:rPr lang="en-IN" sz="1300" b="1" baseline="0">
                <a:solidFill>
                  <a:schemeClr val="tx1">
                    <a:lumMod val="85000"/>
                    <a:lumOff val="15000"/>
                  </a:schemeClr>
                </a:solidFill>
              </a:rPr>
              <a:t> Impact on Profit Margin</a:t>
            </a:r>
            <a:endParaRPr lang="en-IN" sz="1300" b="1">
              <a:solidFill>
                <a:schemeClr val="tx1">
                  <a:lumMod val="85000"/>
                  <a:lumOff val="15000"/>
                </a:schemeClr>
              </a:solidFill>
            </a:endParaRPr>
          </a:p>
        </c:rich>
      </c:tx>
      <c:layout>
        <c:manualLayout>
          <c:xMode val="edge"/>
          <c:yMode val="edge"/>
          <c:x val="1.9505554700866659E-3"/>
          <c:y val="1.5816231632463266E-2"/>
        </c:manualLayout>
      </c:layout>
      <c:overlay val="0"/>
      <c:spPr>
        <a:noFill/>
        <a:ln>
          <a:noFill/>
        </a:ln>
        <a:effectLst/>
      </c:spPr>
      <c:txPr>
        <a:bodyPr rot="0" spcFirstLastPara="1" vertOverflow="ellipsis" vert="horz" wrap="square" anchor="ctr" anchorCtr="1"/>
        <a:lstStyle/>
        <a:p>
          <a:pPr>
            <a:defRPr sz="1300" b="1" i="0" u="none" strike="noStrike" kern="1200" spc="0" baseline="0">
              <a:solidFill>
                <a:schemeClr val="tx1">
                  <a:lumMod val="85000"/>
                  <a:lumOff val="1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2.4805104148234651E-3"/>
              <c:y val="1.1862211539659016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0517195212432899E-2"/>
              <c:y val="-7.51273397511737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7129697881644103E-2"/>
              <c:y val="-5.14029166718557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4805104148233739E-2"/>
              <c:y val="-4.74488461586360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2.4805104148233739E-2"/>
              <c:y val="3.9540705132196721E-3"/>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4805104148233784E-2"/>
              <c:y val="-3.95407051321967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4.9610208296467492E-2"/>
              <c:y val="1.581628205287865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7363572903763641E-2"/>
              <c:y val="-3.95407051321967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layout>
            <c:manualLayout>
              <c:x val="1.1131431085704569E-2"/>
              <c:y val="0"/>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4.9610208296467492E-2"/>
              <c:y val="1.581628205287865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dLbl>
          <c:idx val="0"/>
          <c:layout>
            <c:manualLayout>
              <c:x val="-2.4805104148233739E-2"/>
              <c:y val="3.9540705132196721E-3"/>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dLbl>
          <c:idx val="0"/>
          <c:layout>
            <c:manualLayout>
              <c:x val="2.4805104148234651E-3"/>
              <c:y val="1.1862211539659016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dLbl>
          <c:idx val="0"/>
          <c:layout>
            <c:manualLayout>
              <c:x val="1.1131431085704569E-2"/>
              <c:y val="0"/>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7363572903763641E-2"/>
              <c:y val="-3.95407051321967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4805104148233784E-2"/>
              <c:y val="-3.95407051321967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0517195212432899E-2"/>
              <c:y val="-7.51273397511737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7129697881644103E-2"/>
              <c:y val="-5.14029166718557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4805104148233739E-2"/>
              <c:y val="-4.74488461586360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dLbl>
          <c:idx val="0"/>
          <c:layout>
            <c:manualLayout>
              <c:x val="-4.9610261861139475E-2"/>
              <c:y val="2.0433179924531593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dLbl>
          <c:idx val="0"/>
          <c:layout>
            <c:manualLayout>
              <c:x val="-2.4805104148233739E-2"/>
              <c:y val="3.9540705132196721E-3"/>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dLbl>
          <c:idx val="0"/>
          <c:layout>
            <c:manualLayout>
              <c:x val="2.4805104148234651E-3"/>
              <c:y val="1.1862211539659016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dLbl>
          <c:idx val="0"/>
          <c:layout>
            <c:manualLayout>
              <c:x val="1.1131431085704569E-2"/>
              <c:y val="0"/>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7363572903763641E-2"/>
              <c:y val="-3.95407051321967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4805104148233784E-2"/>
              <c:y val="-3.95407051321967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819528654492642E-2"/>
              <c:y val="-7.51273150895542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7129697881644103E-2"/>
              <c:y val="-5.14029166718557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4805104148233739E-2"/>
              <c:y val="-4.74488461586360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51368343395292"/>
          <c:y val="0.15851868687497664"/>
          <c:w val="0.66221321774174813"/>
          <c:h val="0.66590750588440417"/>
        </c:manualLayout>
      </c:layout>
      <c:barChart>
        <c:barDir val="col"/>
        <c:grouping val="clustered"/>
        <c:varyColors val="0"/>
        <c:ser>
          <c:idx val="1"/>
          <c:order val="1"/>
          <c:tx>
            <c:strRef>
              <c:f>Sheet6!$G$16</c:f>
              <c:strCache>
                <c:ptCount val="1"/>
                <c:pt idx="0">
                  <c:v>Sum of Net_Sales_INR</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0-37C3-4EA9-BB47-70A447C125AB}"/>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1-37C3-4EA9-BB47-70A447C125AB}"/>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2-37C3-4EA9-BB47-70A447C125AB}"/>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3-37C3-4EA9-BB47-70A447C125AB}"/>
              </c:ext>
            </c:extLst>
          </c:dPt>
          <c:dLbls>
            <c:dLbl>
              <c:idx val="0"/>
              <c:layout>
                <c:manualLayout>
                  <c:x val="-4.9610261861139475E-2"/>
                  <c:y val="2.04331799245315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7C3-4EA9-BB47-70A447C125AB}"/>
                </c:ext>
              </c:extLst>
            </c:dLbl>
            <c:dLbl>
              <c:idx val="1"/>
              <c:layout>
                <c:manualLayout>
                  <c:x val="-2.4805104148233739E-2"/>
                  <c:y val="3.954070513219672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7C3-4EA9-BB47-70A447C125AB}"/>
                </c:ext>
              </c:extLst>
            </c:dLbl>
            <c:dLbl>
              <c:idx val="2"/>
              <c:layout>
                <c:manualLayout>
                  <c:x val="2.4805104148234651E-3"/>
                  <c:y val="1.18622115396590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7C3-4EA9-BB47-70A447C125AB}"/>
                </c:ext>
              </c:extLst>
            </c:dLbl>
            <c:dLbl>
              <c:idx val="3"/>
              <c:layout>
                <c:manualLayout>
                  <c:x val="1.113143108570456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C3-4EA9-BB47-70A447C125AB}"/>
                </c:ext>
              </c:extLst>
            </c:dLbl>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Sheet6!$E$17:$E$22</c:f>
              <c:strCache>
                <c:ptCount val="5"/>
                <c:pt idx="0">
                  <c:v>0</c:v>
                </c:pt>
                <c:pt idx="1">
                  <c:v>5</c:v>
                </c:pt>
                <c:pt idx="2">
                  <c:v>10</c:v>
                </c:pt>
                <c:pt idx="3">
                  <c:v>15</c:v>
                </c:pt>
                <c:pt idx="4">
                  <c:v>20</c:v>
                </c:pt>
              </c:strCache>
            </c:strRef>
          </c:cat>
          <c:val>
            <c:numRef>
              <c:f>Sheet6!$G$17:$G$22</c:f>
              <c:numCache>
                <c:formatCode>#,##0.00</c:formatCode>
                <c:ptCount val="5"/>
                <c:pt idx="0">
                  <c:v>193514590</c:v>
                </c:pt>
                <c:pt idx="1">
                  <c:v>126816091.84999995</c:v>
                </c:pt>
                <c:pt idx="2">
                  <c:v>63034436.700000003</c:v>
                </c:pt>
                <c:pt idx="3">
                  <c:v>63094496.999999993</c:v>
                </c:pt>
                <c:pt idx="4">
                  <c:v>43523019.199999996</c:v>
                </c:pt>
              </c:numCache>
            </c:numRef>
          </c:val>
          <c:extLst>
            <c:ext xmlns:c16="http://schemas.microsoft.com/office/drawing/2014/chart" uri="{C3380CC4-5D6E-409C-BE32-E72D297353CC}">
              <c16:uniqueId val="{00000004-37C3-4EA9-BB47-70A447C125AB}"/>
            </c:ext>
          </c:extLst>
        </c:ser>
        <c:dLbls>
          <c:showLegendKey val="0"/>
          <c:showVal val="1"/>
          <c:showCatName val="0"/>
          <c:showSerName val="0"/>
          <c:showPercent val="0"/>
          <c:showBubbleSize val="0"/>
        </c:dLbls>
        <c:gapWidth val="219"/>
        <c:overlap val="-27"/>
        <c:axId val="574574191"/>
        <c:axId val="574587151"/>
      </c:barChart>
      <c:lineChart>
        <c:grouping val="standard"/>
        <c:varyColors val="0"/>
        <c:ser>
          <c:idx val="0"/>
          <c:order val="0"/>
          <c:tx>
            <c:strRef>
              <c:f>Sheet6!$F$16</c:f>
              <c:strCache>
                <c:ptCount val="1"/>
                <c:pt idx="0">
                  <c:v>Average of Profit_Margin_Pct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37C3-4EA9-BB47-70A447C125AB}"/>
              </c:ext>
            </c:extLst>
          </c:dPt>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6-37C3-4EA9-BB47-70A447C125AB}"/>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7-37C3-4EA9-BB47-70A447C125AB}"/>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8-37C3-4EA9-BB47-70A447C125AB}"/>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9-37C3-4EA9-BB47-70A447C125AB}"/>
              </c:ext>
            </c:extLst>
          </c:dPt>
          <c:dLbls>
            <c:dLbl>
              <c:idx val="0"/>
              <c:layout>
                <c:manualLayout>
                  <c:x val="-1.7363572903763641E-2"/>
                  <c:y val="-3.95407051321967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7C3-4EA9-BB47-70A447C125AB}"/>
                </c:ext>
              </c:extLst>
            </c:dLbl>
            <c:dLbl>
              <c:idx val="1"/>
              <c:layout>
                <c:manualLayout>
                  <c:x val="-2.4805104148233784E-2"/>
                  <c:y val="-3.95407051321967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7C3-4EA9-BB47-70A447C125AB}"/>
                </c:ext>
              </c:extLst>
            </c:dLbl>
            <c:dLbl>
              <c:idx val="2"/>
              <c:layout>
                <c:manualLayout>
                  <c:x val="-4.819528654492642E-2"/>
                  <c:y val="-7.51273150895542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7C3-4EA9-BB47-70A447C125AB}"/>
                </c:ext>
              </c:extLst>
            </c:dLbl>
            <c:dLbl>
              <c:idx val="3"/>
              <c:layout>
                <c:manualLayout>
                  <c:x val="-4.7129697881644103E-2"/>
                  <c:y val="-5.14029166718557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7C3-4EA9-BB47-70A447C125AB}"/>
                </c:ext>
              </c:extLst>
            </c:dLbl>
            <c:dLbl>
              <c:idx val="4"/>
              <c:layout>
                <c:manualLayout>
                  <c:x val="-2.4805104148233739E-2"/>
                  <c:y val="-4.74488461586360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7C3-4EA9-BB47-70A447C125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Sheet6!$E$17:$E$22</c:f>
              <c:strCache>
                <c:ptCount val="5"/>
                <c:pt idx="0">
                  <c:v>0</c:v>
                </c:pt>
                <c:pt idx="1">
                  <c:v>5</c:v>
                </c:pt>
                <c:pt idx="2">
                  <c:v>10</c:v>
                </c:pt>
                <c:pt idx="3">
                  <c:v>15</c:v>
                </c:pt>
                <c:pt idx="4">
                  <c:v>20</c:v>
                </c:pt>
              </c:strCache>
            </c:strRef>
          </c:cat>
          <c:val>
            <c:numRef>
              <c:f>Sheet6!$F$17:$F$22</c:f>
              <c:numCache>
                <c:formatCode>0.00</c:formatCode>
                <c:ptCount val="5"/>
                <c:pt idx="0">
                  <c:v>37.586155606407317</c:v>
                </c:pt>
                <c:pt idx="1">
                  <c:v>37.461174496644325</c:v>
                </c:pt>
                <c:pt idx="2">
                  <c:v>37.248571428571424</c:v>
                </c:pt>
                <c:pt idx="3">
                  <c:v>37.510503144654074</c:v>
                </c:pt>
                <c:pt idx="4">
                  <c:v>37.291184210526303</c:v>
                </c:pt>
              </c:numCache>
            </c:numRef>
          </c:val>
          <c:smooth val="0"/>
          <c:extLst>
            <c:ext xmlns:c16="http://schemas.microsoft.com/office/drawing/2014/chart" uri="{C3380CC4-5D6E-409C-BE32-E72D297353CC}">
              <c16:uniqueId val="{0000000A-37C3-4EA9-BB47-70A447C125AB}"/>
            </c:ext>
          </c:extLst>
        </c:ser>
        <c:dLbls>
          <c:showLegendKey val="0"/>
          <c:showVal val="1"/>
          <c:showCatName val="0"/>
          <c:showSerName val="0"/>
          <c:showPercent val="0"/>
          <c:showBubbleSize val="0"/>
        </c:dLbls>
        <c:marker val="1"/>
        <c:smooth val="0"/>
        <c:axId val="574571791"/>
        <c:axId val="574567951"/>
      </c:lineChart>
      <c:catAx>
        <c:axId val="574571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2">
                        <a:lumMod val="10000"/>
                      </a:schemeClr>
                    </a:solidFill>
                    <a:latin typeface="+mn-lt"/>
                    <a:ea typeface="+mn-ea"/>
                    <a:cs typeface="+mn-cs"/>
                  </a:defRPr>
                </a:pPr>
                <a:r>
                  <a:rPr lang="en-IN">
                    <a:solidFill>
                      <a:schemeClr val="bg2">
                        <a:lumMod val="10000"/>
                      </a:schemeClr>
                    </a:solidFill>
                  </a:rPr>
                  <a:t>Discount</a:t>
                </a:r>
                <a:r>
                  <a:rPr lang="en-IN" baseline="0">
                    <a:solidFill>
                      <a:schemeClr val="bg2">
                        <a:lumMod val="10000"/>
                      </a:schemeClr>
                    </a:solidFill>
                  </a:rPr>
                  <a:t> (%)</a:t>
                </a:r>
                <a:endParaRPr lang="en-IN">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2">
                      <a:lumMod val="10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574567951"/>
        <c:crosses val="autoZero"/>
        <c:auto val="1"/>
        <c:lblAlgn val="ctr"/>
        <c:lblOffset val="100"/>
        <c:noMultiLvlLbl val="0"/>
      </c:catAx>
      <c:valAx>
        <c:axId val="5745679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2">
                        <a:lumMod val="10000"/>
                      </a:schemeClr>
                    </a:solidFill>
                    <a:latin typeface="+mn-lt"/>
                    <a:ea typeface="+mn-ea"/>
                    <a:cs typeface="+mn-cs"/>
                  </a:defRPr>
                </a:pPr>
                <a:r>
                  <a:rPr lang="en-IN">
                    <a:solidFill>
                      <a:schemeClr val="bg2">
                        <a:lumMod val="10000"/>
                      </a:schemeClr>
                    </a:solidFill>
                  </a:rPr>
                  <a:t>Profit</a:t>
                </a:r>
                <a:r>
                  <a:rPr lang="en-IN" baseline="0">
                    <a:solidFill>
                      <a:schemeClr val="bg2">
                        <a:lumMod val="10000"/>
                      </a:schemeClr>
                    </a:solidFill>
                  </a:rPr>
                  <a:t> Margin (%)</a:t>
                </a:r>
                <a:endParaRPr lang="en-IN">
                  <a:solidFill>
                    <a:schemeClr val="bg2">
                      <a:lumMod val="10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2">
                      <a:lumMod val="10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574571791"/>
        <c:crosses val="autoZero"/>
        <c:crossBetween val="between"/>
      </c:valAx>
      <c:valAx>
        <c:axId val="574587151"/>
        <c:scaling>
          <c:orientation val="minMax"/>
        </c:scaling>
        <c:delete val="0"/>
        <c:axPos val="r"/>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chemeClr val="bg2">
                        <a:lumMod val="10000"/>
                      </a:schemeClr>
                    </a:solidFill>
                    <a:latin typeface="+mn-lt"/>
                    <a:ea typeface="+mn-ea"/>
                    <a:cs typeface="+mn-cs"/>
                  </a:defRPr>
                </a:pPr>
                <a:r>
                  <a:rPr lang="en-IN" sz="1000" b="0" i="0" u="none" strike="noStrike" kern="1200" baseline="0">
                    <a:solidFill>
                      <a:schemeClr val="bg2">
                        <a:lumMod val="10000"/>
                      </a:schemeClr>
                    </a:solidFill>
                  </a:rPr>
                  <a:t>Net Sales</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chemeClr val="bg2">
                      <a:lumMod val="10000"/>
                    </a:schemeClr>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574574191"/>
        <c:crosses val="max"/>
        <c:crossBetween val="between"/>
      </c:valAx>
      <c:catAx>
        <c:axId val="574574191"/>
        <c:scaling>
          <c:orientation val="minMax"/>
        </c:scaling>
        <c:delete val="1"/>
        <c:axPos val="b"/>
        <c:numFmt formatCode="General" sourceLinked="1"/>
        <c:majorTickMark val="out"/>
        <c:minorTickMark val="none"/>
        <c:tickLblPos val="nextTo"/>
        <c:crossAx val="574587151"/>
        <c:crosses val="autoZero"/>
        <c:auto val="1"/>
        <c:lblAlgn val="ctr"/>
        <c:lblOffset val="100"/>
        <c:noMultiLvlLbl val="0"/>
      </c:catAx>
      <c:spPr>
        <a:noFill/>
        <a:ln>
          <a:noFill/>
        </a:ln>
        <a:effectLst/>
      </c:spPr>
    </c:plotArea>
    <c:legend>
      <c:legendPos val="r"/>
      <c:layout>
        <c:manualLayout>
          <c:xMode val="edge"/>
          <c:yMode val="edge"/>
          <c:x val="0.56755663090959096"/>
          <c:y val="6.8331025550939992E-3"/>
          <c:w val="0.43015319133065733"/>
          <c:h val="0.100977535288403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[Retail_Sales_Dashboard.xlsx]Sheet6!TopPerformer</c:name>
    <c:fmtId val="4"/>
  </c:pivotSource>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US" b="1">
                <a:solidFill>
                  <a:schemeClr val="tx1">
                    <a:lumMod val="85000"/>
                    <a:lumOff val="15000"/>
                  </a:schemeClr>
                </a:solidFill>
              </a:rPr>
              <a:t>Salesperson</a:t>
            </a:r>
            <a:r>
              <a:rPr lang="en-US" b="1" baseline="0">
                <a:solidFill>
                  <a:schemeClr val="tx1">
                    <a:lumMod val="85000"/>
                    <a:lumOff val="15000"/>
                  </a:schemeClr>
                </a:solidFill>
              </a:rPr>
              <a:t> Performance - Net Sales</a:t>
            </a:r>
            <a:endParaRPr lang="en-US" b="1">
              <a:solidFill>
                <a:schemeClr val="tx1">
                  <a:lumMod val="85000"/>
                  <a:lumOff val="1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solidFill>
          <a:ln>
            <a:noFill/>
          </a:ln>
          <a:effectLst/>
        </c:spPr>
      </c:pivotFmt>
      <c:pivotFmt>
        <c:idx val="1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C000"/>
          </a:solidFill>
          <a:ln>
            <a:noFill/>
          </a:ln>
          <a:effectLst/>
        </c:spPr>
        <c:dLbl>
          <c:idx val="0"/>
          <c:layout>
            <c:manualLayout>
              <c:x val="0"/>
              <c:y val="-3.6630036630036632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2.4455005824254913E-3"/>
              <c:y val="1.8314949161655901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1.5120661797223434E-4"/>
              <c:y val="4.5788246925803598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
              <c:y val="-7.3260073260073263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
              <c:y val="1.8944397532971429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8.151066431191414E-4"/>
              <c:y val="9.1576493851607196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0"/>
              <c:y val="-5.4945054945054944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0"/>
              <c:y val="1.831501831501831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Sheet6!$F$3</c:f>
              <c:strCache>
                <c:ptCount val="1"/>
                <c:pt idx="0">
                  <c:v>Total</c:v>
                </c:pt>
              </c:strCache>
            </c:strRef>
          </c:tx>
          <c:spPr>
            <a:solidFill>
              <a:schemeClr val="accent1"/>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1-ADBC-4E52-A79A-E612858570D2}"/>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9-ADBC-4E52-A79A-E612858570D2}"/>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8-ADBC-4E52-A79A-E612858570D2}"/>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ADBC-4E52-A79A-E612858570D2}"/>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6-ADBC-4E52-A79A-E612858570D2}"/>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5-ADBC-4E52-A79A-E612858570D2}"/>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4-ADBC-4E52-A79A-E612858570D2}"/>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3-ADBC-4E52-A79A-E612858570D2}"/>
              </c:ext>
            </c:extLst>
          </c:dPt>
          <c:dLbls>
            <c:dLbl>
              <c:idx val="0"/>
              <c:layout>
                <c:manualLayout>
                  <c:x val="0"/>
                  <c:y val="-3.663003663003663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DBC-4E52-A79A-E612858570D2}"/>
                </c:ext>
              </c:extLst>
            </c:dLbl>
            <c:dLbl>
              <c:idx val="1"/>
              <c:layout>
                <c:manualLayout>
                  <c:x val="0"/>
                  <c:y val="1.831501831501831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DBC-4E52-A79A-E612858570D2}"/>
                </c:ext>
              </c:extLst>
            </c:dLbl>
            <c:dLbl>
              <c:idx val="2"/>
              <c:layout>
                <c:manualLayout>
                  <c:x val="0"/>
                  <c:y val="-5.494505494505494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DBC-4E52-A79A-E612858570D2}"/>
                </c:ext>
              </c:extLst>
            </c:dLbl>
            <c:dLbl>
              <c:idx val="3"/>
              <c:layout>
                <c:manualLayout>
                  <c:x val="8.151066431191414E-4"/>
                  <c:y val="9.157649385160719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DBC-4E52-A79A-E612858570D2}"/>
                </c:ext>
              </c:extLst>
            </c:dLbl>
            <c:dLbl>
              <c:idx val="4"/>
              <c:layout>
                <c:manualLayout>
                  <c:x val="0"/>
                  <c:y val="1.894439753297142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DBC-4E52-A79A-E612858570D2}"/>
                </c:ext>
              </c:extLst>
            </c:dLbl>
            <c:dLbl>
              <c:idx val="5"/>
              <c:layout>
                <c:manualLayout>
                  <c:x val="0"/>
                  <c:y val="-7.32600732600732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DBC-4E52-A79A-E612858570D2}"/>
                </c:ext>
              </c:extLst>
            </c:dLbl>
            <c:dLbl>
              <c:idx val="6"/>
              <c:layout>
                <c:manualLayout>
                  <c:x val="1.5120661797223434E-4"/>
                  <c:y val="4.578824692580359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DBC-4E52-A79A-E612858570D2}"/>
                </c:ext>
              </c:extLst>
            </c:dLbl>
            <c:dLbl>
              <c:idx val="7"/>
              <c:layout>
                <c:manualLayout>
                  <c:x val="2.4455005824254913E-3"/>
                  <c:y val="1.831494916165590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DBC-4E52-A79A-E612858570D2}"/>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Sheet6!$E$4:$E$12</c:f>
              <c:strCache>
                <c:ptCount val="8"/>
                <c:pt idx="0">
                  <c:v>Priya Sharma</c:v>
                </c:pt>
                <c:pt idx="1">
                  <c:v>Sneha Iyer</c:v>
                </c:pt>
                <c:pt idx="2">
                  <c:v>Rahul Gupta</c:v>
                </c:pt>
                <c:pt idx="3">
                  <c:v>Arjun Mehta</c:v>
                </c:pt>
                <c:pt idx="4">
                  <c:v>Vikram Singh</c:v>
                </c:pt>
                <c:pt idx="5">
                  <c:v>Rohan Das</c:v>
                </c:pt>
                <c:pt idx="6">
                  <c:v>Ananya Patel</c:v>
                </c:pt>
                <c:pt idx="7">
                  <c:v>Kavitha Nair</c:v>
                </c:pt>
              </c:strCache>
            </c:strRef>
          </c:cat>
          <c:val>
            <c:numRef>
              <c:f>Sheet6!$F$4:$F$12</c:f>
              <c:numCache>
                <c:formatCode>#,##0.00</c:formatCode>
                <c:ptCount val="8"/>
                <c:pt idx="0">
                  <c:v>70473371.850000024</c:v>
                </c:pt>
                <c:pt idx="1">
                  <c:v>68961323.399999976</c:v>
                </c:pt>
                <c:pt idx="2">
                  <c:v>68360452.049999997</c:v>
                </c:pt>
                <c:pt idx="3">
                  <c:v>64775215.800000012</c:v>
                </c:pt>
                <c:pt idx="4">
                  <c:v>58492482.149999999</c:v>
                </c:pt>
                <c:pt idx="5">
                  <c:v>57390290.600000009</c:v>
                </c:pt>
                <c:pt idx="6">
                  <c:v>53202635.499999993</c:v>
                </c:pt>
                <c:pt idx="7">
                  <c:v>48326863.399999999</c:v>
                </c:pt>
              </c:numCache>
            </c:numRef>
          </c:val>
          <c:extLst>
            <c:ext xmlns:c16="http://schemas.microsoft.com/office/drawing/2014/chart" uri="{C3380CC4-5D6E-409C-BE32-E72D297353CC}">
              <c16:uniqueId val="{00000002-ADBC-4E52-A79A-E612858570D2}"/>
            </c:ext>
          </c:extLst>
        </c:ser>
        <c:dLbls>
          <c:dLblPos val="outEnd"/>
          <c:showLegendKey val="0"/>
          <c:showVal val="1"/>
          <c:showCatName val="0"/>
          <c:showSerName val="0"/>
          <c:showPercent val="0"/>
          <c:showBubbleSize val="0"/>
        </c:dLbls>
        <c:gapWidth val="219"/>
        <c:overlap val="-27"/>
        <c:axId val="574575631"/>
        <c:axId val="574578511"/>
      </c:barChart>
      <c:catAx>
        <c:axId val="57457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574578511"/>
        <c:crosses val="autoZero"/>
        <c:auto val="1"/>
        <c:lblAlgn val="ctr"/>
        <c:lblOffset val="100"/>
        <c:noMultiLvlLbl val="0"/>
      </c:catAx>
      <c:valAx>
        <c:axId val="574578511"/>
        <c:scaling>
          <c:orientation val="minMax"/>
        </c:scaling>
        <c:delete val="0"/>
        <c:axPos val="l"/>
        <c:majorGridlines>
          <c:spPr>
            <a:ln w="9525" cap="flat" cmpd="sng" algn="ctr">
              <a:solidFill>
                <a:schemeClr val="tx1">
                  <a:lumMod val="15000"/>
                  <a:lumOff val="85000"/>
                </a:schemeClr>
              </a:solidFill>
              <a:round/>
            </a:ln>
            <a:effectLst/>
          </c:spPr>
        </c:majorGridlines>
        <c:numFmt formatCode="[$₹-4009]\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574575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[Retail_Sales_Dashboard.xlsx]Sheet6!CategorySales</c:name>
    <c:fmtId val="5"/>
  </c:pivotSource>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IN" sz="1400" b="1" i="0" u="none" strike="noStrike" baseline="0">
                <a:solidFill>
                  <a:schemeClr val="tx1">
                    <a:lumMod val="85000"/>
                    <a:lumOff val="15000"/>
                  </a:schemeClr>
                </a:solidFill>
              </a:rPr>
              <a:t>Category Revenue Share - 2025</a:t>
            </a:r>
            <a:endParaRPr lang="en-IN" b="1">
              <a:solidFill>
                <a:schemeClr val="tx1">
                  <a:lumMod val="85000"/>
                  <a:lumOff val="15000"/>
                </a:schemeClr>
              </a:solidFill>
            </a:endParaRPr>
          </a:p>
        </c:rich>
      </c:tx>
      <c:layout>
        <c:manualLayout>
          <c:xMode val="edge"/>
          <c:yMode val="edge"/>
          <c:x val="0.11563869614572134"/>
          <c:y val="1.850768642022798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dLbl>
          <c:idx val="0"/>
          <c:layout>
            <c:manualLayout>
              <c:x val="1.0846005510112406E-2"/>
              <c:y val="-9.2980009298000935E-3"/>
            </c:manualLayout>
          </c:layout>
          <c:spPr>
            <a:no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FF0000"/>
          </a:solidFill>
          <a:ln w="19050">
            <a:solidFill>
              <a:schemeClr val="lt1"/>
            </a:solidFill>
          </a:ln>
          <a:effectLst/>
        </c:spPr>
        <c:dLbl>
          <c:idx val="0"/>
          <c:layout>
            <c:manualLayout>
              <c:x val="2.9510577802108865E-2"/>
              <c:y val="-8.1358599953487796E-3"/>
            </c:manualLayout>
          </c:layout>
          <c:spPr>
            <a:noFill/>
            <a:ln>
              <a:solidFill>
                <a:sysClr val="window" lastClr="FFFFFF">
                  <a:lumMod val="50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2">
                      <a:lumMod val="1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487677969855501"/>
                  <c:h val="0.14321776723516255"/>
                </c:manualLayout>
              </c15:layout>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dLbl>
          <c:idx val="0"/>
          <c:layout>
            <c:manualLayout>
              <c:x val="1.0846005510112406E-2"/>
              <c:y val="-9.2980009298000935E-3"/>
            </c:manualLayout>
          </c:layout>
          <c:spPr>
            <a:no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FF0000"/>
          </a:solidFill>
          <a:ln w="19050">
            <a:solidFill>
              <a:schemeClr val="lt1"/>
            </a:solidFill>
          </a:ln>
          <a:effectLst/>
        </c:spPr>
        <c:dLbl>
          <c:idx val="0"/>
          <c:layout>
            <c:manualLayout>
              <c:x val="2.9510577802108865E-2"/>
              <c:y val="-8.1358599953487796E-3"/>
            </c:manualLayout>
          </c:layout>
          <c:spPr>
            <a:noFill/>
            <a:ln>
              <a:solidFill>
                <a:sysClr val="window" lastClr="FFFFFF">
                  <a:lumMod val="50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2">
                      <a:lumMod val="1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487677969855501"/>
                  <c:h val="0.14321776723516255"/>
                </c:manualLayout>
              </c15:layout>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dLbl>
          <c:idx val="0"/>
          <c:layout>
            <c:manualLayout>
              <c:x val="1.0846005510112406E-2"/>
              <c:y val="-9.2980009298000935E-3"/>
            </c:manualLayout>
          </c:layout>
          <c:spPr>
            <a:no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rgbClr val="1F3864"/>
          </a:solidFill>
          <a:ln w="19050">
            <a:solidFill>
              <a:schemeClr val="lt1"/>
            </a:solidFill>
          </a:ln>
          <a:effectLst/>
        </c:spPr>
        <c:dLbl>
          <c:idx val="0"/>
          <c:layout>
            <c:manualLayout>
              <c:x val="4.3377276346950266E-2"/>
              <c:y val="-1.3194220132171345E-2"/>
            </c:manualLayout>
          </c:layout>
          <c:spPr>
            <a:noFill/>
            <a:ln>
              <a:solidFill>
                <a:sysClr val="window" lastClr="FFFFFF">
                  <a:lumMod val="50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2">
                      <a:lumMod val="1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0261017678823782"/>
                  <c:h val="0.13310104696151742"/>
                </c:manualLayout>
              </c15:layout>
            </c:ext>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manualLayout>
          <c:layoutTarget val="inner"/>
          <c:xMode val="edge"/>
          <c:yMode val="edge"/>
          <c:x val="0.27486197675140217"/>
          <c:y val="0.23687015974854991"/>
          <c:w val="0.42401774397972114"/>
          <c:h val="0.68837448559670777"/>
        </c:manualLayout>
      </c:layout>
      <c:pieChart>
        <c:varyColors val="1"/>
        <c:ser>
          <c:idx val="0"/>
          <c:order val="0"/>
          <c:tx>
            <c:strRef>
              <c:f>Sheet6!$B$27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C0-420D-9D20-9F4A8AC211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C0-420D-9D20-9F4A8AC21119}"/>
              </c:ext>
            </c:extLst>
          </c:dPt>
          <c:dPt>
            <c:idx val="2"/>
            <c:bubble3D val="0"/>
            <c:spPr>
              <a:solidFill>
                <a:srgbClr val="1F3864"/>
              </a:solidFill>
              <a:ln w="19050">
                <a:solidFill>
                  <a:schemeClr val="lt1"/>
                </a:solidFill>
              </a:ln>
              <a:effectLst/>
            </c:spPr>
            <c:extLst>
              <c:ext xmlns:c16="http://schemas.microsoft.com/office/drawing/2014/chart" uri="{C3380CC4-5D6E-409C-BE32-E72D297353CC}">
                <c16:uniqueId val="{00000005-B1C0-420D-9D20-9F4A8AC21119}"/>
              </c:ext>
            </c:extLst>
          </c:dPt>
          <c:dPt>
            <c:idx val="3"/>
            <c:bubble3D val="0"/>
            <c:explosion val="7"/>
            <c:spPr>
              <a:solidFill>
                <a:schemeClr val="accent4"/>
              </a:solidFill>
              <a:ln w="19050">
                <a:solidFill>
                  <a:schemeClr val="lt1"/>
                </a:solidFill>
              </a:ln>
              <a:effectLst/>
            </c:spPr>
            <c:extLst>
              <c:ext xmlns:c16="http://schemas.microsoft.com/office/drawing/2014/chart" uri="{C3380CC4-5D6E-409C-BE32-E72D297353CC}">
                <c16:uniqueId val="{00000007-B1C0-420D-9D20-9F4A8AC2111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1C0-420D-9D20-9F4A8AC21119}"/>
              </c:ext>
            </c:extLst>
          </c:dPt>
          <c:dLbls>
            <c:dLbl>
              <c:idx val="1"/>
              <c:layout>
                <c:manualLayout>
                  <c:x val="1.0846005510112406E-2"/>
                  <c:y val="-9.2980009298000935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1C0-420D-9D20-9F4A8AC21119}"/>
                </c:ext>
              </c:extLst>
            </c:dLbl>
            <c:dLbl>
              <c:idx val="2"/>
              <c:layout>
                <c:manualLayout>
                  <c:x val="4.3377276346950266E-2"/>
                  <c:y val="-1.3194220132171345E-2"/>
                </c:manualLayout>
              </c:layout>
              <c:spPr>
                <a:noFill/>
                <a:ln>
                  <a:solidFill>
                    <a:sysClr val="window" lastClr="FFFFFF">
                      <a:lumMod val="50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2">
                          <a:lumMod val="1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0261017678823782"/>
                      <c:h val="0.13310104696151742"/>
                    </c:manualLayout>
                  </c15:layout>
                </c:ext>
                <c:ext xmlns:c16="http://schemas.microsoft.com/office/drawing/2014/chart" uri="{C3380CC4-5D6E-409C-BE32-E72D297353CC}">
                  <c16:uniqueId val="{00000005-B1C0-420D-9D20-9F4A8AC21119}"/>
                </c:ext>
              </c:extLst>
            </c:dLbl>
            <c:spPr>
              <a:no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Sheet6!$A$28:$A$33</c:f>
              <c:strCache>
                <c:ptCount val="5"/>
                <c:pt idx="0">
                  <c:v>Clothing</c:v>
                </c:pt>
                <c:pt idx="1">
                  <c:v>Electronics</c:v>
                </c:pt>
                <c:pt idx="2">
                  <c:v>Food &amp; Beverages</c:v>
                </c:pt>
                <c:pt idx="3">
                  <c:v>Furniture</c:v>
                </c:pt>
                <c:pt idx="4">
                  <c:v>Sports</c:v>
                </c:pt>
              </c:strCache>
            </c:strRef>
          </c:cat>
          <c:val>
            <c:numRef>
              <c:f>Sheet6!$B$28:$B$33</c:f>
              <c:numCache>
                <c:formatCode>0.00%</c:formatCode>
                <c:ptCount val="5"/>
                <c:pt idx="0">
                  <c:v>5.7916487212815462E-2</c:v>
                </c:pt>
                <c:pt idx="1">
                  <c:v>0.3599653317101561</c:v>
                </c:pt>
                <c:pt idx="2">
                  <c:v>5.4069010044646279E-3</c:v>
                </c:pt>
                <c:pt idx="3">
                  <c:v>0.50887565949601243</c:v>
                </c:pt>
                <c:pt idx="4">
                  <c:v>6.7835620576551459E-2</c:v>
                </c:pt>
              </c:numCache>
            </c:numRef>
          </c:val>
          <c:extLst>
            <c:ext xmlns:c16="http://schemas.microsoft.com/office/drawing/2014/chart" uri="{C3380CC4-5D6E-409C-BE32-E72D297353CC}">
              <c16:uniqueId val="{0000000A-B1C0-420D-9D20-9F4A8AC2111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[Retail_Sales_Dashboard.xlsx]Sheet6!RegionWiseSales</c:name>
    <c:fmtId val="14"/>
  </c:pivotSource>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r>
              <a:rPr lang="en-US" sz="1500" b="1">
                <a:solidFill>
                  <a:schemeClr val="tx1">
                    <a:lumMod val="85000"/>
                    <a:lumOff val="15000"/>
                  </a:schemeClr>
                </a:solidFill>
              </a:rPr>
              <a:t>Revenue</a:t>
            </a:r>
            <a:r>
              <a:rPr lang="en-US" sz="1500" b="1" baseline="0">
                <a:solidFill>
                  <a:schemeClr val="tx1">
                    <a:lumMod val="85000"/>
                    <a:lumOff val="15000"/>
                  </a:schemeClr>
                </a:solidFill>
              </a:rPr>
              <a:t> by Region</a:t>
            </a:r>
            <a:endParaRPr lang="en-US" sz="1500" b="1">
              <a:solidFill>
                <a:schemeClr val="tx1">
                  <a:lumMod val="85000"/>
                  <a:lumOff val="15000"/>
                </a:schemeClr>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tx2">
              <a:lumMod val="75000"/>
            </a:schemeClr>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pivotFmt>
      <c:pivotFmt>
        <c:idx val="3"/>
        <c:spPr>
          <a:solidFill>
            <a:schemeClr val="tx2">
              <a:lumMod val="60000"/>
              <a:lumOff val="40000"/>
            </a:schemeClr>
          </a:solidFill>
          <a:ln>
            <a:noFill/>
          </a:ln>
          <a:effectLst/>
        </c:spPr>
      </c:pivotFmt>
      <c:pivotFmt>
        <c:idx val="4"/>
        <c:spPr>
          <a:solidFill>
            <a:schemeClr val="accent2">
              <a:lumMod val="75000"/>
            </a:schemeClr>
          </a:solidFill>
          <a:ln>
            <a:noFill/>
          </a:ln>
          <a:effectLst/>
        </c:spPr>
      </c:pivotFmt>
      <c:pivotFmt>
        <c:idx val="5"/>
        <c:spPr>
          <a:solidFill>
            <a:schemeClr val="accent6">
              <a:lumMod val="75000"/>
            </a:schemeClr>
          </a:solidFill>
          <a:ln>
            <a:noFill/>
          </a:ln>
          <a:effectLst/>
        </c:spPr>
      </c:pivotFmt>
      <c:pivotFmt>
        <c:idx val="6"/>
        <c:spPr>
          <a:solidFill>
            <a:schemeClr val="tx2">
              <a:lumMod val="75000"/>
            </a:schemeClr>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pivotFmt>
      <c:pivotFmt>
        <c:idx val="8"/>
        <c:spPr>
          <a:solidFill>
            <a:schemeClr val="accent2">
              <a:lumMod val="75000"/>
            </a:schemeClr>
          </a:solidFill>
          <a:ln>
            <a:noFill/>
          </a:ln>
          <a:effectLst/>
        </c:spPr>
      </c:pivotFmt>
      <c:pivotFmt>
        <c:idx val="9"/>
        <c:spPr>
          <a:solidFill>
            <a:schemeClr val="tx2">
              <a:lumMod val="60000"/>
              <a:lumOff val="40000"/>
            </a:schemeClr>
          </a:solidFill>
          <a:ln>
            <a:noFill/>
          </a:ln>
          <a:effectLst/>
        </c:spPr>
      </c:pivotFmt>
      <c:pivotFmt>
        <c:idx val="10"/>
        <c:spPr>
          <a:solidFill>
            <a:schemeClr val="accent4">
              <a:lumMod val="75000"/>
            </a:schemeClr>
          </a:solidFill>
          <a:ln>
            <a:noFill/>
          </a:ln>
          <a:effectLst/>
        </c:spPr>
      </c:pivotFmt>
      <c:pivotFmt>
        <c:idx val="11"/>
        <c:spPr>
          <a:solidFill>
            <a:schemeClr val="tx2">
              <a:lumMod val="75000"/>
            </a:schemeClr>
          </a:solidFill>
          <a:ln>
            <a:noFill/>
          </a:ln>
          <a:effectLst/>
        </c:spPr>
        <c:marker>
          <c:symbol val="none"/>
        </c:marker>
        <c:dLbl>
          <c:idx val="0"/>
          <c:numFmt formatCode="[$₹-4009]\ #,##0" sourceLinked="0"/>
          <c:spPr>
            <a:noFill/>
            <a:ln>
              <a:noFill/>
            </a:ln>
            <a:effectLst/>
          </c:spPr>
          <c:txPr>
            <a:bodyPr rot="0" spcFirstLastPara="1" vertOverflow="ellipsis" vert="horz" wrap="none" lIns="38100" tIns="19050" rIns="38100" bIns="19050" anchor="ctr" anchorCtr="1">
              <a:spAutoFit/>
            </a:bodyPr>
            <a:lstStyle/>
            <a:p>
              <a:pPr>
                <a:defRPr sz="10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2"/>
        <c:spPr>
          <a:solidFill>
            <a:schemeClr val="accent6">
              <a:lumMod val="75000"/>
            </a:schemeClr>
          </a:solidFill>
          <a:ln>
            <a:noFill/>
          </a:ln>
          <a:effectLst/>
        </c:spPr>
      </c:pivotFmt>
      <c:pivotFmt>
        <c:idx val="13"/>
        <c:spPr>
          <a:solidFill>
            <a:schemeClr val="accent2">
              <a:lumMod val="75000"/>
            </a:schemeClr>
          </a:solidFill>
          <a:ln>
            <a:noFill/>
          </a:ln>
          <a:effectLst/>
        </c:spPr>
      </c:pivotFmt>
      <c:pivotFmt>
        <c:idx val="14"/>
        <c:spPr>
          <a:solidFill>
            <a:schemeClr val="tx2">
              <a:lumMod val="60000"/>
              <a:lumOff val="40000"/>
            </a:schemeClr>
          </a:solidFill>
          <a:ln>
            <a:noFill/>
          </a:ln>
          <a:effectLst/>
        </c:spPr>
      </c:pivotFmt>
      <c:pivotFmt>
        <c:idx val="15"/>
        <c:spPr>
          <a:solidFill>
            <a:schemeClr val="accent4">
              <a:lumMod val="75000"/>
            </a:schemeClr>
          </a:solidFill>
          <a:ln>
            <a:noFill/>
          </a:ln>
          <a:effectLst/>
        </c:spPr>
      </c:pivotFmt>
    </c:pivotFmts>
    <c:plotArea>
      <c:layout>
        <c:manualLayout>
          <c:layoutTarget val="inner"/>
          <c:xMode val="edge"/>
          <c:yMode val="edge"/>
          <c:x val="0.14180516868459234"/>
          <c:y val="0.25254692157806408"/>
          <c:w val="0.70303429241922777"/>
          <c:h val="0.62332386032835074"/>
        </c:manualLayout>
      </c:layout>
      <c:barChart>
        <c:barDir val="bar"/>
        <c:grouping val="clustered"/>
        <c:varyColors val="0"/>
        <c:ser>
          <c:idx val="0"/>
          <c:order val="0"/>
          <c:tx>
            <c:strRef>
              <c:f>Sheet6!$B$19</c:f>
              <c:strCache>
                <c:ptCount val="1"/>
                <c:pt idx="0">
                  <c:v>Total</c:v>
                </c:pt>
              </c:strCache>
            </c:strRef>
          </c:tx>
          <c:spPr>
            <a:solidFill>
              <a:schemeClr val="tx2">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FC87-493F-AA10-CCD36BB2B412}"/>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3-FC87-493F-AA10-CCD36BB2B412}"/>
              </c:ext>
            </c:extLst>
          </c:dPt>
          <c:dPt>
            <c:idx val="2"/>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5-FC87-493F-AA10-CCD36BB2B412}"/>
              </c:ext>
            </c:extLst>
          </c:dPt>
          <c:dPt>
            <c:idx val="3"/>
            <c:invertIfNegative val="0"/>
            <c:bubble3D val="0"/>
            <c:spPr>
              <a:solidFill>
                <a:schemeClr val="accent4">
                  <a:lumMod val="75000"/>
                </a:schemeClr>
              </a:solidFill>
              <a:ln>
                <a:noFill/>
              </a:ln>
              <a:effectLst/>
            </c:spPr>
            <c:extLst>
              <c:ext xmlns:c16="http://schemas.microsoft.com/office/drawing/2014/chart" uri="{C3380CC4-5D6E-409C-BE32-E72D297353CC}">
                <c16:uniqueId val="{00000007-FC87-493F-AA10-CCD36BB2B412}"/>
              </c:ext>
            </c:extLst>
          </c:dPt>
          <c:dLbls>
            <c:numFmt formatCode="[$₹-4009]\ #,##0" sourceLinked="0"/>
            <c:spPr>
              <a:noFill/>
              <a:ln>
                <a:noFill/>
              </a:ln>
              <a:effectLst/>
            </c:spPr>
            <c:txPr>
              <a:bodyPr rot="0" spcFirstLastPara="1" vertOverflow="ellipsis" vert="horz" wrap="none" lIns="38100" tIns="19050" rIns="38100" bIns="19050" anchor="ctr" anchorCtr="1">
                <a:spAutoFit/>
              </a:bodyPr>
              <a:lstStyle/>
              <a:p>
                <a:pPr>
                  <a:defRPr sz="10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Sheet6!$A$20:$A$24</c:f>
              <c:strCache>
                <c:ptCount val="4"/>
                <c:pt idx="0">
                  <c:v>East</c:v>
                </c:pt>
                <c:pt idx="1">
                  <c:v>North</c:v>
                </c:pt>
                <c:pt idx="2">
                  <c:v>South</c:v>
                </c:pt>
                <c:pt idx="3">
                  <c:v>West</c:v>
                </c:pt>
              </c:strCache>
            </c:strRef>
          </c:cat>
          <c:val>
            <c:numRef>
              <c:f>Sheet6!$B$20:$B$24</c:f>
              <c:numCache>
                <c:formatCode>#,##0.00</c:formatCode>
                <c:ptCount val="4"/>
                <c:pt idx="0">
                  <c:v>131037631.79999997</c:v>
                </c:pt>
                <c:pt idx="1">
                  <c:v>127823425.84999995</c:v>
                </c:pt>
                <c:pt idx="2">
                  <c:v>109064240.55000003</c:v>
                </c:pt>
                <c:pt idx="3">
                  <c:v>122057336.54999994</c:v>
                </c:pt>
              </c:numCache>
            </c:numRef>
          </c:val>
          <c:extLst>
            <c:ext xmlns:c16="http://schemas.microsoft.com/office/drawing/2014/chart" uri="{C3380CC4-5D6E-409C-BE32-E72D297353CC}">
              <c16:uniqueId val="{00000008-FC87-493F-AA10-CCD36BB2B412}"/>
            </c:ext>
          </c:extLst>
        </c:ser>
        <c:dLbls>
          <c:dLblPos val="outEnd"/>
          <c:showLegendKey val="0"/>
          <c:showVal val="1"/>
          <c:showCatName val="0"/>
          <c:showSerName val="0"/>
          <c:showPercent val="0"/>
          <c:showBubbleSize val="0"/>
        </c:dLbls>
        <c:gapWidth val="182"/>
        <c:axId val="574618831"/>
        <c:axId val="574624111"/>
      </c:barChart>
      <c:catAx>
        <c:axId val="5746188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2">
                    <a:lumMod val="10000"/>
                  </a:schemeClr>
                </a:solidFill>
                <a:latin typeface="+mn-lt"/>
                <a:ea typeface="+mn-ea"/>
                <a:cs typeface="+mn-cs"/>
              </a:defRPr>
            </a:pPr>
            <a:endParaRPr lang="en-US"/>
          </a:p>
        </c:txPr>
        <c:crossAx val="574624111"/>
        <c:crosses val="autoZero"/>
        <c:auto val="1"/>
        <c:lblAlgn val="ctr"/>
        <c:lblOffset val="100"/>
        <c:noMultiLvlLbl val="0"/>
      </c:catAx>
      <c:valAx>
        <c:axId val="574624111"/>
        <c:scaling>
          <c:orientation val="minMax"/>
        </c:scaling>
        <c:delete val="0"/>
        <c:axPos val="b"/>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2">
                    <a:lumMod val="10000"/>
                  </a:schemeClr>
                </a:solidFill>
                <a:latin typeface="+mn-lt"/>
                <a:ea typeface="+mn-ea"/>
                <a:cs typeface="+mn-cs"/>
              </a:defRPr>
            </a:pPr>
            <a:endParaRPr lang="en-US"/>
          </a:p>
        </c:txPr>
        <c:crossAx val="57461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[Retail_Sales_Dashboard.xlsx]Sheet6!MonthSales</c:name>
    <c:fmtId val="38"/>
  </c:pivotSource>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US" b="1">
                <a:solidFill>
                  <a:schemeClr val="tx1">
                    <a:lumMod val="85000"/>
                    <a:lumOff val="15000"/>
                  </a:schemeClr>
                </a:solidFill>
              </a:rPr>
              <a:t>Monthly</a:t>
            </a:r>
            <a:r>
              <a:rPr lang="en-US" b="1" baseline="0">
                <a:solidFill>
                  <a:schemeClr val="tx1">
                    <a:lumMod val="85000"/>
                    <a:lumOff val="15000"/>
                  </a:schemeClr>
                </a:solidFill>
              </a:rPr>
              <a:t> Net Sales Trend - 2025</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layout>
            <c:manualLayout>
              <c:x val="0"/>
              <c:y val="-4.8535462672429107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layout>
            <c:manualLayout>
              <c:x val="-8.4237740584220427E-2"/>
              <c:y val="6.4439068248252934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layout>
            <c:manualLayout>
              <c:x val="-4.139335444961819E-2"/>
              <c:y val="5.1100406979016834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layout>
            <c:manualLayout>
              <c:x val="-0.14326458013503029"/>
              <c:y val="-2.347280603082515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layout>
            <c:manualLayout>
              <c:x val="-7.4220853138192752E-2"/>
              <c:y val="4.3402925359464967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layout>
            <c:manualLayout>
              <c:x val="-8.6038061005216215E-2"/>
              <c:y val="-5.7223086426111187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layout>
            <c:manualLayout>
              <c:x val="-6.9804416509435252E-2"/>
              <c:y val="5.0293150231039169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layout>
            <c:manualLayout>
              <c:x val="-3.3356255217034246E-2"/>
              <c:y val="4.9485893483061566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layout>
            <c:manualLayout>
              <c:x val="-0.10525697849089628"/>
              <c:y val="-2.9738470191226097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layout>
            <c:manualLayout>
              <c:x val="-7.4624382647175427E-2"/>
              <c:y val="-7.2862522500497948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Lbl>
          <c:idx val="0"/>
          <c:layout>
            <c:manualLayout>
              <c:x val="-7.9247589470883076E-2"/>
              <c:y val="-5.7102090987329018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28575" cap="rnd">
              <a:solidFill>
                <a:schemeClr val="tx2">
                  <a:lumMod val="60000"/>
                  <a:lumOff val="40000"/>
                </a:schemeClr>
              </a:solidFill>
              <a:round/>
            </a:ln>
            <a:effectLst/>
          </c:spPr>
          <c:marker>
            <c:symbol val="circle"/>
            <c:size val="5"/>
            <c:spPr>
              <a:solidFill>
                <a:schemeClr val="tx2">
                  <a:lumMod val="75000"/>
                </a:schemeClr>
              </a:solidFill>
              <a:ln w="9525">
                <a:solidFill>
                  <a:schemeClr val="accent1"/>
                </a:solidFill>
              </a:ln>
              <a:effectLst/>
            </c:spPr>
          </c:marker>
          <c:dPt>
            <c:idx val="1"/>
            <c:marker>
              <c:symbol val="circle"/>
              <c:size val="5"/>
              <c:spPr>
                <a:solidFill>
                  <a:schemeClr val="tx2">
                    <a:lumMod val="75000"/>
                  </a:schemeClr>
                </a:solidFill>
                <a:ln w="9525">
                  <a:solidFill>
                    <a:schemeClr val="accent1"/>
                  </a:solidFill>
                </a:ln>
                <a:effectLst/>
              </c:spPr>
            </c:marker>
            <c:bubble3D val="0"/>
            <c:spPr>
              <a:ln w="28575" cap="rnd">
                <a:solidFill>
                  <a:schemeClr val="tx2">
                    <a:lumMod val="60000"/>
                    <a:lumOff val="40000"/>
                  </a:schemeClr>
                </a:solidFill>
                <a:round/>
              </a:ln>
              <a:effectLst/>
            </c:spPr>
            <c:extLst>
              <c:ext xmlns:c16="http://schemas.microsoft.com/office/drawing/2014/chart" uri="{C3380CC4-5D6E-409C-BE32-E72D297353CC}">
                <c16:uniqueId val="{00000001-E090-42BF-9C4B-51D9B273B1B0}"/>
              </c:ext>
            </c:extLst>
          </c:dPt>
          <c:dPt>
            <c:idx val="2"/>
            <c:marker>
              <c:symbol val="circle"/>
              <c:size val="5"/>
              <c:spPr>
                <a:solidFill>
                  <a:schemeClr val="tx2">
                    <a:lumMod val="75000"/>
                  </a:schemeClr>
                </a:solidFill>
                <a:ln w="9525">
                  <a:solidFill>
                    <a:schemeClr val="accent1"/>
                  </a:solidFill>
                </a:ln>
                <a:effectLst/>
              </c:spPr>
            </c:marker>
            <c:bubble3D val="0"/>
            <c:spPr>
              <a:ln w="28575" cap="rnd">
                <a:solidFill>
                  <a:schemeClr val="tx2">
                    <a:lumMod val="60000"/>
                    <a:lumOff val="40000"/>
                  </a:schemeClr>
                </a:solidFill>
                <a:round/>
              </a:ln>
              <a:effectLst/>
            </c:spPr>
            <c:extLst>
              <c:ext xmlns:c16="http://schemas.microsoft.com/office/drawing/2014/chart" uri="{C3380CC4-5D6E-409C-BE32-E72D297353CC}">
                <c16:uniqueId val="{00000002-E090-42BF-9C4B-51D9B273B1B0}"/>
              </c:ext>
            </c:extLst>
          </c:dPt>
          <c:dPt>
            <c:idx val="3"/>
            <c:marker>
              <c:symbol val="circle"/>
              <c:size val="5"/>
              <c:spPr>
                <a:solidFill>
                  <a:schemeClr val="tx2">
                    <a:lumMod val="75000"/>
                  </a:schemeClr>
                </a:solidFill>
                <a:ln w="9525">
                  <a:solidFill>
                    <a:schemeClr val="accent1"/>
                  </a:solidFill>
                </a:ln>
                <a:effectLst/>
              </c:spPr>
            </c:marker>
            <c:bubble3D val="0"/>
            <c:extLst>
              <c:ext xmlns:c16="http://schemas.microsoft.com/office/drawing/2014/chart" uri="{C3380CC4-5D6E-409C-BE32-E72D297353CC}">
                <c16:uniqueId val="{00000003-E090-42BF-9C4B-51D9B273B1B0}"/>
              </c:ext>
            </c:extLst>
          </c:dPt>
          <c:dPt>
            <c:idx val="4"/>
            <c:marker>
              <c:symbol val="circle"/>
              <c:size val="5"/>
              <c:spPr>
                <a:solidFill>
                  <a:schemeClr val="tx2">
                    <a:lumMod val="75000"/>
                  </a:schemeClr>
                </a:solidFill>
                <a:ln w="9525">
                  <a:solidFill>
                    <a:schemeClr val="accent1"/>
                  </a:solidFill>
                </a:ln>
                <a:effectLst/>
              </c:spPr>
            </c:marker>
            <c:bubble3D val="0"/>
            <c:extLst>
              <c:ext xmlns:c16="http://schemas.microsoft.com/office/drawing/2014/chart" uri="{C3380CC4-5D6E-409C-BE32-E72D297353CC}">
                <c16:uniqueId val="{0000000A-BCB6-4BC0-A6CC-9888B974AA66}"/>
              </c:ext>
            </c:extLst>
          </c:dPt>
          <c:dPt>
            <c:idx val="5"/>
            <c:marker>
              <c:symbol val="circle"/>
              <c:size val="5"/>
              <c:spPr>
                <a:solidFill>
                  <a:schemeClr val="tx2">
                    <a:lumMod val="75000"/>
                  </a:schemeClr>
                </a:solidFill>
                <a:ln w="9525">
                  <a:solidFill>
                    <a:schemeClr val="accent1"/>
                  </a:solidFill>
                </a:ln>
                <a:effectLst/>
              </c:spPr>
            </c:marker>
            <c:bubble3D val="0"/>
            <c:extLst>
              <c:ext xmlns:c16="http://schemas.microsoft.com/office/drawing/2014/chart" uri="{C3380CC4-5D6E-409C-BE32-E72D297353CC}">
                <c16:uniqueId val="{00000004-E090-42BF-9C4B-51D9B273B1B0}"/>
              </c:ext>
            </c:extLst>
          </c:dPt>
          <c:dPt>
            <c:idx val="6"/>
            <c:marker>
              <c:symbol val="circle"/>
              <c:size val="5"/>
              <c:spPr>
                <a:solidFill>
                  <a:schemeClr val="tx2">
                    <a:lumMod val="75000"/>
                  </a:schemeClr>
                </a:solidFill>
                <a:ln w="9525">
                  <a:solidFill>
                    <a:schemeClr val="accent1"/>
                  </a:solidFill>
                </a:ln>
                <a:effectLst/>
              </c:spPr>
            </c:marker>
            <c:bubble3D val="0"/>
            <c:extLst>
              <c:ext xmlns:c16="http://schemas.microsoft.com/office/drawing/2014/chart" uri="{C3380CC4-5D6E-409C-BE32-E72D297353CC}">
                <c16:uniqueId val="{00000005-E090-42BF-9C4B-51D9B273B1B0}"/>
              </c:ext>
            </c:extLst>
          </c:dPt>
          <c:dPt>
            <c:idx val="7"/>
            <c:marker>
              <c:symbol val="circle"/>
              <c:size val="5"/>
              <c:spPr>
                <a:solidFill>
                  <a:schemeClr val="tx2">
                    <a:lumMod val="75000"/>
                  </a:schemeClr>
                </a:solidFill>
                <a:ln w="9525">
                  <a:solidFill>
                    <a:schemeClr val="accent1"/>
                  </a:solidFill>
                </a:ln>
                <a:effectLst/>
              </c:spPr>
            </c:marker>
            <c:bubble3D val="0"/>
            <c:extLst>
              <c:ext xmlns:c16="http://schemas.microsoft.com/office/drawing/2014/chart" uri="{C3380CC4-5D6E-409C-BE32-E72D297353CC}">
                <c16:uniqueId val="{00000009-BCB6-4BC0-A6CC-9888B974AA66}"/>
              </c:ext>
            </c:extLst>
          </c:dPt>
          <c:dPt>
            <c:idx val="8"/>
            <c:marker>
              <c:symbol val="circle"/>
              <c:size val="5"/>
              <c:spPr>
                <a:solidFill>
                  <a:schemeClr val="tx2">
                    <a:lumMod val="75000"/>
                  </a:schemeClr>
                </a:solidFill>
                <a:ln w="9525">
                  <a:solidFill>
                    <a:schemeClr val="accent1"/>
                  </a:solidFill>
                </a:ln>
                <a:effectLst/>
              </c:spPr>
            </c:marker>
            <c:bubble3D val="0"/>
            <c:extLst>
              <c:ext xmlns:c16="http://schemas.microsoft.com/office/drawing/2014/chart" uri="{C3380CC4-5D6E-409C-BE32-E72D297353CC}">
                <c16:uniqueId val="{00000006-E090-42BF-9C4B-51D9B273B1B0}"/>
              </c:ext>
            </c:extLst>
          </c:dPt>
          <c:dPt>
            <c:idx val="9"/>
            <c:marker>
              <c:symbol val="circle"/>
              <c:size val="5"/>
              <c:spPr>
                <a:solidFill>
                  <a:schemeClr val="tx2">
                    <a:lumMod val="75000"/>
                  </a:schemeClr>
                </a:solidFill>
                <a:ln w="9525">
                  <a:solidFill>
                    <a:schemeClr val="accent1"/>
                  </a:solidFill>
                </a:ln>
                <a:effectLst/>
              </c:spPr>
            </c:marker>
            <c:bubble3D val="0"/>
            <c:extLst>
              <c:ext xmlns:c16="http://schemas.microsoft.com/office/drawing/2014/chart" uri="{C3380CC4-5D6E-409C-BE32-E72D297353CC}">
                <c16:uniqueId val="{00000007-E090-42BF-9C4B-51D9B273B1B0}"/>
              </c:ext>
            </c:extLst>
          </c:dPt>
          <c:dPt>
            <c:idx val="10"/>
            <c:marker>
              <c:symbol val="circle"/>
              <c:size val="5"/>
              <c:spPr>
                <a:solidFill>
                  <a:schemeClr val="tx2">
                    <a:lumMod val="75000"/>
                  </a:schemeClr>
                </a:solidFill>
                <a:ln w="9525">
                  <a:solidFill>
                    <a:schemeClr val="accent1"/>
                  </a:solidFill>
                </a:ln>
                <a:effectLst/>
              </c:spPr>
            </c:marker>
            <c:bubble3D val="0"/>
            <c:extLst>
              <c:ext xmlns:c16="http://schemas.microsoft.com/office/drawing/2014/chart" uri="{C3380CC4-5D6E-409C-BE32-E72D297353CC}">
                <c16:uniqueId val="{00000008-E090-42BF-9C4B-51D9B273B1B0}"/>
              </c:ext>
            </c:extLst>
          </c:dPt>
          <c:dPt>
            <c:idx val="11"/>
            <c:marker>
              <c:symbol val="circle"/>
              <c:size val="5"/>
              <c:spPr>
                <a:solidFill>
                  <a:schemeClr val="tx2">
                    <a:lumMod val="75000"/>
                  </a:schemeClr>
                </a:solidFill>
                <a:ln w="9525">
                  <a:solidFill>
                    <a:schemeClr val="accent1"/>
                  </a:solidFill>
                </a:ln>
                <a:effectLst/>
              </c:spPr>
            </c:marker>
            <c:bubble3D val="0"/>
            <c:extLst>
              <c:ext xmlns:c16="http://schemas.microsoft.com/office/drawing/2014/chart" uri="{C3380CC4-5D6E-409C-BE32-E72D297353CC}">
                <c16:uniqueId val="{00000000-E090-42BF-9C4B-51D9B273B1B0}"/>
              </c:ext>
            </c:extLst>
          </c:dPt>
          <c:dLbls>
            <c:dLbl>
              <c:idx val="1"/>
              <c:layout>
                <c:manualLayout>
                  <c:x val="-8.4237740584220427E-2"/>
                  <c:y val="6.44390682482529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90-42BF-9C4B-51D9B273B1B0}"/>
                </c:ext>
              </c:extLst>
            </c:dLbl>
            <c:dLbl>
              <c:idx val="2"/>
              <c:layout>
                <c:manualLayout>
                  <c:x val="-4.139335444961819E-2"/>
                  <c:y val="5.11004069790168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90-42BF-9C4B-51D9B273B1B0}"/>
                </c:ext>
              </c:extLst>
            </c:dLbl>
            <c:dLbl>
              <c:idx val="3"/>
              <c:layout>
                <c:manualLayout>
                  <c:x val="-0.14326458013503029"/>
                  <c:y val="-2.3472806030825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90-42BF-9C4B-51D9B273B1B0}"/>
                </c:ext>
              </c:extLst>
            </c:dLbl>
            <c:dLbl>
              <c:idx val="4"/>
              <c:layout>
                <c:manualLayout>
                  <c:x val="-7.9247589470883076E-2"/>
                  <c:y val="-5.71020909873290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CB6-4BC0-A6CC-9888B974AA66}"/>
                </c:ext>
              </c:extLst>
            </c:dLbl>
            <c:dLbl>
              <c:idx val="5"/>
              <c:layout>
                <c:manualLayout>
                  <c:x val="-7.4220853138192752E-2"/>
                  <c:y val="4.34029253594649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90-42BF-9C4B-51D9B273B1B0}"/>
                </c:ext>
              </c:extLst>
            </c:dLbl>
            <c:dLbl>
              <c:idx val="6"/>
              <c:layout>
                <c:manualLayout>
                  <c:x val="-8.6038061005216215E-2"/>
                  <c:y val="-5.72230864261111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90-42BF-9C4B-51D9B273B1B0}"/>
                </c:ext>
              </c:extLst>
            </c:dLbl>
            <c:dLbl>
              <c:idx val="7"/>
              <c:layout>
                <c:manualLayout>
                  <c:x val="-7.4624382647175427E-2"/>
                  <c:y val="-7.28625225004979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CB6-4BC0-A6CC-9888B974AA66}"/>
                </c:ext>
              </c:extLst>
            </c:dLbl>
            <c:dLbl>
              <c:idx val="8"/>
              <c:layout>
                <c:manualLayout>
                  <c:x val="-6.9804416509435252E-2"/>
                  <c:y val="5.02931502310391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90-42BF-9C4B-51D9B273B1B0}"/>
                </c:ext>
              </c:extLst>
            </c:dLbl>
            <c:dLbl>
              <c:idx val="9"/>
              <c:layout>
                <c:manualLayout>
                  <c:x val="-3.3356255217034246E-2"/>
                  <c:y val="4.94858934830615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90-42BF-9C4B-51D9B273B1B0}"/>
                </c:ext>
              </c:extLst>
            </c:dLbl>
            <c:dLbl>
              <c:idx val="10"/>
              <c:layout>
                <c:manualLayout>
                  <c:x val="-0.10525697849089628"/>
                  <c:y val="-2.97384701912260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90-42BF-9C4B-51D9B273B1B0}"/>
                </c:ext>
              </c:extLst>
            </c:dLbl>
            <c:dLbl>
              <c:idx val="11"/>
              <c:layout>
                <c:manualLayout>
                  <c:x val="0"/>
                  <c:y val="-4.85354626724291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90-42BF-9C4B-51D9B273B1B0}"/>
                </c:ext>
              </c:extLst>
            </c:dLbl>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Sheet6!$B$4:$B$16</c:f>
              <c:numCache>
                <c:formatCode>#,##0.00</c:formatCode>
                <c:ptCount val="12"/>
                <c:pt idx="0">
                  <c:v>31228108.299999997</c:v>
                </c:pt>
                <c:pt idx="1">
                  <c:v>30423789.699999992</c:v>
                </c:pt>
                <c:pt idx="2">
                  <c:v>34319897.200000003</c:v>
                </c:pt>
                <c:pt idx="3">
                  <c:v>39904058.150000013</c:v>
                </c:pt>
                <c:pt idx="4">
                  <c:v>42018416.000000007</c:v>
                </c:pt>
                <c:pt idx="5">
                  <c:v>37970771.549999997</c:v>
                </c:pt>
                <c:pt idx="6">
                  <c:v>38465534.250000007</c:v>
                </c:pt>
                <c:pt idx="7">
                  <c:v>43529181.25</c:v>
                </c:pt>
                <c:pt idx="8">
                  <c:v>40714356.95000001</c:v>
                </c:pt>
                <c:pt idx="9">
                  <c:v>46957303.050000004</c:v>
                </c:pt>
                <c:pt idx="10">
                  <c:v>50980038.449999988</c:v>
                </c:pt>
                <c:pt idx="11">
                  <c:v>53471179.899999991</c:v>
                </c:pt>
              </c:numCache>
            </c:numRef>
          </c:val>
          <c:smooth val="0"/>
          <c:extLst>
            <c:ext xmlns:c16="http://schemas.microsoft.com/office/drawing/2014/chart" uri="{C3380CC4-5D6E-409C-BE32-E72D297353CC}">
              <c16:uniqueId val="{00000000-D610-4B10-8871-C17C1B7140DA}"/>
            </c:ext>
          </c:extLst>
        </c:ser>
        <c:dLbls>
          <c:dLblPos val="t"/>
          <c:showLegendKey val="0"/>
          <c:showVal val="1"/>
          <c:showCatName val="0"/>
          <c:showSerName val="0"/>
          <c:showPercent val="0"/>
          <c:showBubbleSize val="0"/>
        </c:dLbls>
        <c:marker val="1"/>
        <c:smooth val="0"/>
        <c:axId val="553541552"/>
        <c:axId val="834954512"/>
      </c:lineChart>
      <c:catAx>
        <c:axId val="55354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834954512"/>
        <c:crosses val="autoZero"/>
        <c:auto val="1"/>
        <c:lblAlgn val="ctr"/>
        <c:lblOffset val="100"/>
        <c:noMultiLvlLbl val="0"/>
      </c:catAx>
      <c:valAx>
        <c:axId val="834954512"/>
        <c:scaling>
          <c:orientation val="minMax"/>
        </c:scaling>
        <c:delete val="0"/>
        <c:axPos val="l"/>
        <c:numFmt formatCode="[$₹-4009]\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55354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[Retail_Sales_Dashboard.xlsx]Sheet6!RegionWiseSales</c:name>
    <c:fmtId val="10"/>
  </c:pivotSource>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r>
              <a:rPr lang="en-US" sz="1500" b="1">
                <a:solidFill>
                  <a:schemeClr val="tx1">
                    <a:lumMod val="85000"/>
                    <a:lumOff val="15000"/>
                  </a:schemeClr>
                </a:solidFill>
              </a:rPr>
              <a:t>Revenue</a:t>
            </a:r>
            <a:r>
              <a:rPr lang="en-US" sz="1500" b="1" baseline="0">
                <a:solidFill>
                  <a:schemeClr val="tx1">
                    <a:lumMod val="85000"/>
                    <a:lumOff val="15000"/>
                  </a:schemeClr>
                </a:solidFill>
              </a:rPr>
              <a:t> by Region</a:t>
            </a:r>
            <a:endParaRPr lang="en-US" sz="1500" b="1">
              <a:solidFill>
                <a:schemeClr val="tx1">
                  <a:lumMod val="85000"/>
                  <a:lumOff val="15000"/>
                </a:schemeClr>
              </a:solidFill>
            </a:endParaRPr>
          </a:p>
        </c:rich>
      </c:tx>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schemeClr>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pivotFmt>
      <c:pivotFmt>
        <c:idx val="3"/>
        <c:spPr>
          <a:solidFill>
            <a:schemeClr val="tx2">
              <a:lumMod val="60000"/>
              <a:lumOff val="40000"/>
            </a:schemeClr>
          </a:solidFill>
          <a:ln>
            <a:noFill/>
          </a:ln>
          <a:effectLst/>
        </c:spPr>
      </c:pivotFmt>
      <c:pivotFmt>
        <c:idx val="4"/>
        <c:spPr>
          <a:solidFill>
            <a:schemeClr val="accent2">
              <a:lumMod val="75000"/>
            </a:schemeClr>
          </a:solidFill>
          <a:ln>
            <a:noFill/>
          </a:ln>
          <a:effectLst/>
        </c:spPr>
      </c:pivotFmt>
      <c:pivotFmt>
        <c:idx val="5"/>
        <c:spPr>
          <a:solidFill>
            <a:schemeClr val="accent6">
              <a:lumMod val="75000"/>
            </a:schemeClr>
          </a:solidFill>
          <a:ln>
            <a:noFill/>
          </a:ln>
          <a:effectLst/>
        </c:spPr>
      </c:pivotFmt>
    </c:pivotFmts>
    <c:plotArea>
      <c:layout/>
      <c:barChart>
        <c:barDir val="bar"/>
        <c:grouping val="clustered"/>
        <c:varyColors val="0"/>
        <c:ser>
          <c:idx val="0"/>
          <c:order val="0"/>
          <c:tx>
            <c:strRef>
              <c:f>Sheet6!$B$19</c:f>
              <c:strCache>
                <c:ptCount val="1"/>
                <c:pt idx="0">
                  <c:v>Total</c:v>
                </c:pt>
              </c:strCache>
            </c:strRef>
          </c:tx>
          <c:spPr>
            <a:solidFill>
              <a:schemeClr val="tx2">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A41C-4724-9D78-0B2BB3762BD6}"/>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3-A41C-4724-9D78-0B2BB3762BD6}"/>
              </c:ext>
            </c:extLst>
          </c:dPt>
          <c:dPt>
            <c:idx val="2"/>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5-A41C-4724-9D78-0B2BB3762BD6}"/>
              </c:ext>
            </c:extLst>
          </c:dPt>
          <c:dPt>
            <c:idx val="3"/>
            <c:invertIfNegative val="0"/>
            <c:bubble3D val="0"/>
            <c:spPr>
              <a:solidFill>
                <a:schemeClr val="accent4">
                  <a:lumMod val="75000"/>
                </a:schemeClr>
              </a:solidFill>
              <a:ln>
                <a:noFill/>
              </a:ln>
              <a:effectLst/>
            </c:spPr>
            <c:extLst>
              <c:ext xmlns:c16="http://schemas.microsoft.com/office/drawing/2014/chart" uri="{C3380CC4-5D6E-409C-BE32-E72D297353CC}">
                <c16:uniqueId val="{00000007-A41C-4724-9D78-0B2BB3762BD6}"/>
              </c:ext>
            </c:extLst>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Sheet6!$A$20:$A$24</c:f>
              <c:strCache>
                <c:ptCount val="4"/>
                <c:pt idx="0">
                  <c:v>East</c:v>
                </c:pt>
                <c:pt idx="1">
                  <c:v>North</c:v>
                </c:pt>
                <c:pt idx="2">
                  <c:v>South</c:v>
                </c:pt>
                <c:pt idx="3">
                  <c:v>West</c:v>
                </c:pt>
              </c:strCache>
            </c:strRef>
          </c:cat>
          <c:val>
            <c:numRef>
              <c:f>Sheet6!$B$20:$B$24</c:f>
              <c:numCache>
                <c:formatCode>#,##0.00</c:formatCode>
                <c:ptCount val="4"/>
                <c:pt idx="0">
                  <c:v>131037631.79999997</c:v>
                </c:pt>
                <c:pt idx="1">
                  <c:v>127823425.84999995</c:v>
                </c:pt>
                <c:pt idx="2">
                  <c:v>109064240.55000003</c:v>
                </c:pt>
                <c:pt idx="3">
                  <c:v>122057336.54999994</c:v>
                </c:pt>
              </c:numCache>
            </c:numRef>
          </c:val>
          <c:extLst>
            <c:ext xmlns:c16="http://schemas.microsoft.com/office/drawing/2014/chart" uri="{C3380CC4-5D6E-409C-BE32-E72D297353CC}">
              <c16:uniqueId val="{00000005-D435-4670-8B5E-08F3E72B3D24}"/>
            </c:ext>
          </c:extLst>
        </c:ser>
        <c:dLbls>
          <c:dLblPos val="outEnd"/>
          <c:showLegendKey val="0"/>
          <c:showVal val="1"/>
          <c:showCatName val="0"/>
          <c:showSerName val="0"/>
          <c:showPercent val="0"/>
          <c:showBubbleSize val="0"/>
        </c:dLbls>
        <c:gapWidth val="182"/>
        <c:axId val="574618831"/>
        <c:axId val="574624111"/>
      </c:barChart>
      <c:catAx>
        <c:axId val="5746188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2">
                    <a:lumMod val="10000"/>
                  </a:schemeClr>
                </a:solidFill>
                <a:latin typeface="+mn-lt"/>
                <a:ea typeface="+mn-ea"/>
                <a:cs typeface="+mn-cs"/>
              </a:defRPr>
            </a:pPr>
            <a:endParaRPr lang="en-US"/>
          </a:p>
        </c:txPr>
        <c:crossAx val="574624111"/>
        <c:crosses val="autoZero"/>
        <c:auto val="1"/>
        <c:lblAlgn val="ctr"/>
        <c:lblOffset val="100"/>
        <c:noMultiLvlLbl val="0"/>
      </c:catAx>
      <c:valAx>
        <c:axId val="574624111"/>
        <c:scaling>
          <c:orientation val="minMax"/>
        </c:scaling>
        <c:delete val="0"/>
        <c:axPos val="b"/>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2">
                    <a:lumMod val="10000"/>
                  </a:schemeClr>
                </a:solidFill>
                <a:latin typeface="+mn-lt"/>
                <a:ea typeface="+mn-ea"/>
                <a:cs typeface="+mn-cs"/>
              </a:defRPr>
            </a:pPr>
            <a:endParaRPr lang="en-US"/>
          </a:p>
        </c:txPr>
        <c:crossAx val="57461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[Retail_Sales_Dashboard.xlsx]Sheet6!CategorySales</c:name>
    <c:fmtId val="1"/>
  </c:pivotSource>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IN" sz="1400" b="1" i="0" u="none" strike="noStrike" baseline="0">
                <a:solidFill>
                  <a:schemeClr val="tx1">
                    <a:lumMod val="85000"/>
                    <a:lumOff val="15000"/>
                  </a:schemeClr>
                </a:solidFill>
              </a:rPr>
              <a:t>Category Revenue Share - 2025</a:t>
            </a:r>
            <a:endParaRPr lang="en-IN" b="1">
              <a:solidFill>
                <a:schemeClr val="tx1">
                  <a:lumMod val="85000"/>
                  <a:lumOff val="15000"/>
                </a:schemeClr>
              </a:solidFill>
            </a:endParaRPr>
          </a:p>
        </c:rich>
      </c:tx>
      <c:layout>
        <c:manualLayout>
          <c:xMode val="edge"/>
          <c:yMode val="edge"/>
          <c:x val="0.19911120342022809"/>
          <c:y val="7.6827318179057951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dLbl>
          <c:idx val="0"/>
          <c:layout>
            <c:manualLayout>
              <c:x val="1.0846005510112406E-2"/>
              <c:y val="-9.2980009298000935E-3"/>
            </c:manualLayout>
          </c:layout>
          <c:spPr>
            <a:no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FF0000"/>
          </a:solidFill>
          <a:ln w="19050">
            <a:solidFill>
              <a:schemeClr val="lt1"/>
            </a:solidFill>
          </a:ln>
          <a:effectLst/>
        </c:spPr>
        <c:dLbl>
          <c:idx val="0"/>
          <c:layout>
            <c:manualLayout>
              <c:x val="2.9510577802108865E-2"/>
              <c:y val="-8.1358599953487796E-3"/>
            </c:manualLayout>
          </c:layout>
          <c:spPr>
            <a:noFill/>
            <a:ln>
              <a:solidFill>
                <a:sysClr val="window" lastClr="FFFFFF">
                  <a:lumMod val="50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2">
                      <a:lumMod val="1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487677969855501"/>
                  <c:h val="0.14321776723516255"/>
                </c:manualLayout>
              </c15:layout>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7486197675140217"/>
          <c:y val="0.22606625008693998"/>
          <c:w val="0.44758464566929135"/>
          <c:h val="0.74597440944881888"/>
        </c:manualLayout>
      </c:layout>
      <c:pieChart>
        <c:varyColors val="1"/>
        <c:ser>
          <c:idx val="0"/>
          <c:order val="0"/>
          <c:tx>
            <c:strRef>
              <c:f>Sheet6!$B$27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13-4545-8564-5400F911A7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13-4545-8564-5400F911A7D6}"/>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A413-4545-8564-5400F911A7D6}"/>
              </c:ext>
            </c:extLst>
          </c:dPt>
          <c:dPt>
            <c:idx val="3"/>
            <c:bubble3D val="0"/>
            <c:explosion val="7"/>
            <c:spPr>
              <a:solidFill>
                <a:schemeClr val="accent4"/>
              </a:solidFill>
              <a:ln w="19050">
                <a:solidFill>
                  <a:schemeClr val="lt1"/>
                </a:solidFill>
              </a:ln>
              <a:effectLst/>
            </c:spPr>
            <c:extLst>
              <c:ext xmlns:c16="http://schemas.microsoft.com/office/drawing/2014/chart" uri="{C3380CC4-5D6E-409C-BE32-E72D297353CC}">
                <c16:uniqueId val="{00000007-A413-4545-8564-5400F911A7D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413-4545-8564-5400F911A7D6}"/>
              </c:ext>
            </c:extLst>
          </c:dPt>
          <c:dLbls>
            <c:dLbl>
              <c:idx val="1"/>
              <c:layout>
                <c:manualLayout>
                  <c:x val="1.0846005510112406E-2"/>
                  <c:y val="-9.2980009298000935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413-4545-8564-5400F911A7D6}"/>
                </c:ext>
              </c:extLst>
            </c:dLbl>
            <c:dLbl>
              <c:idx val="2"/>
              <c:layout>
                <c:manualLayout>
                  <c:x val="2.9510577802108865E-2"/>
                  <c:y val="-8.1358599953487796E-3"/>
                </c:manualLayout>
              </c:layout>
              <c:spPr>
                <a:noFill/>
                <a:ln>
                  <a:solidFill>
                    <a:sysClr val="window" lastClr="FFFFFF">
                      <a:lumMod val="50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2">
                          <a:lumMod val="1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487677969855501"/>
                      <c:h val="0.14321776723516255"/>
                    </c:manualLayout>
                  </c15:layout>
                </c:ext>
                <c:ext xmlns:c16="http://schemas.microsoft.com/office/drawing/2014/chart" uri="{C3380CC4-5D6E-409C-BE32-E72D297353CC}">
                  <c16:uniqueId val="{00000005-A413-4545-8564-5400F911A7D6}"/>
                </c:ext>
              </c:extLst>
            </c:dLbl>
            <c:spPr>
              <a:no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Sheet6!$A$28:$A$33</c:f>
              <c:strCache>
                <c:ptCount val="5"/>
                <c:pt idx="0">
                  <c:v>Clothing</c:v>
                </c:pt>
                <c:pt idx="1">
                  <c:v>Electronics</c:v>
                </c:pt>
                <c:pt idx="2">
                  <c:v>Food &amp; Beverages</c:v>
                </c:pt>
                <c:pt idx="3">
                  <c:v>Furniture</c:v>
                </c:pt>
                <c:pt idx="4">
                  <c:v>Sports</c:v>
                </c:pt>
              </c:strCache>
            </c:strRef>
          </c:cat>
          <c:val>
            <c:numRef>
              <c:f>Sheet6!$B$28:$B$33</c:f>
              <c:numCache>
                <c:formatCode>0.00%</c:formatCode>
                <c:ptCount val="5"/>
                <c:pt idx="0">
                  <c:v>5.7916487212815462E-2</c:v>
                </c:pt>
                <c:pt idx="1">
                  <c:v>0.3599653317101561</c:v>
                </c:pt>
                <c:pt idx="2">
                  <c:v>5.4069010044646279E-3</c:v>
                </c:pt>
                <c:pt idx="3">
                  <c:v>0.50887565949601243</c:v>
                </c:pt>
                <c:pt idx="4">
                  <c:v>6.7835620576551459E-2</c:v>
                </c:pt>
              </c:numCache>
            </c:numRef>
          </c:val>
          <c:extLst>
            <c:ext xmlns:c16="http://schemas.microsoft.com/office/drawing/2014/chart" uri="{C3380CC4-5D6E-409C-BE32-E72D297353CC}">
              <c16:uniqueId val="{0000000A-A413-4545-8564-5400F911A7D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[Retail_Sales_Dashboard.xlsx]Sheet6!TopPerformer</c:name>
    <c:fmtId val="1"/>
  </c:pivotSource>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US" b="1">
                <a:solidFill>
                  <a:schemeClr val="tx1">
                    <a:lumMod val="85000"/>
                    <a:lumOff val="15000"/>
                  </a:schemeClr>
                </a:solidFill>
              </a:rPr>
              <a:t>Salesperson</a:t>
            </a:r>
            <a:r>
              <a:rPr lang="en-US" b="1" baseline="0">
                <a:solidFill>
                  <a:schemeClr val="tx1">
                    <a:lumMod val="85000"/>
                    <a:lumOff val="15000"/>
                  </a:schemeClr>
                </a:solidFill>
              </a:rPr>
              <a:t> Performance - Net Sales</a:t>
            </a:r>
            <a:endParaRPr lang="en-US" b="1">
              <a:solidFill>
                <a:schemeClr val="tx1">
                  <a:lumMod val="85000"/>
                  <a:lumOff val="1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rgbClr val="FFC000"/>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barChart>
        <c:barDir val="col"/>
        <c:grouping val="clustered"/>
        <c:varyColors val="0"/>
        <c:ser>
          <c:idx val="0"/>
          <c:order val="0"/>
          <c:tx>
            <c:strRef>
              <c:f>Sheet6!$F$3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1ED0-4B4C-8DB8-6B70F75E342C}"/>
              </c:ext>
            </c:extLst>
          </c:dPt>
          <c:dPt>
            <c:idx val="1"/>
            <c:invertIfNegative val="0"/>
            <c:bubble3D val="0"/>
            <c:spPr>
              <a:solidFill>
                <a:srgbClr val="FFC000"/>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Sheet6!$E$4:$E$12</c:f>
              <c:strCache>
                <c:ptCount val="8"/>
                <c:pt idx="0">
                  <c:v>Priya Sharma</c:v>
                </c:pt>
                <c:pt idx="1">
                  <c:v>Sneha Iyer</c:v>
                </c:pt>
                <c:pt idx="2">
                  <c:v>Rahul Gupta</c:v>
                </c:pt>
                <c:pt idx="3">
                  <c:v>Arjun Mehta</c:v>
                </c:pt>
                <c:pt idx="4">
                  <c:v>Vikram Singh</c:v>
                </c:pt>
                <c:pt idx="5">
                  <c:v>Rohan Das</c:v>
                </c:pt>
                <c:pt idx="6">
                  <c:v>Ananya Patel</c:v>
                </c:pt>
                <c:pt idx="7">
                  <c:v>Kavitha Nair</c:v>
                </c:pt>
              </c:strCache>
            </c:strRef>
          </c:cat>
          <c:val>
            <c:numRef>
              <c:f>Sheet6!$F$4:$F$12</c:f>
              <c:numCache>
                <c:formatCode>#,##0.00</c:formatCode>
                <c:ptCount val="8"/>
                <c:pt idx="0">
                  <c:v>70473371.850000024</c:v>
                </c:pt>
                <c:pt idx="1">
                  <c:v>68961323.399999976</c:v>
                </c:pt>
                <c:pt idx="2">
                  <c:v>68360452.049999997</c:v>
                </c:pt>
                <c:pt idx="3">
                  <c:v>64775215.800000012</c:v>
                </c:pt>
                <c:pt idx="4">
                  <c:v>58492482.149999999</c:v>
                </c:pt>
                <c:pt idx="5">
                  <c:v>57390290.600000009</c:v>
                </c:pt>
                <c:pt idx="6">
                  <c:v>53202635.499999993</c:v>
                </c:pt>
                <c:pt idx="7">
                  <c:v>48326863.399999999</c:v>
                </c:pt>
              </c:numCache>
            </c:numRef>
          </c:val>
          <c:extLst>
            <c:ext xmlns:c16="http://schemas.microsoft.com/office/drawing/2014/chart" uri="{C3380CC4-5D6E-409C-BE32-E72D297353CC}">
              <c16:uniqueId val="{00000000-1ED0-4B4C-8DB8-6B70F75E342C}"/>
            </c:ext>
          </c:extLst>
        </c:ser>
        <c:dLbls>
          <c:dLblPos val="outEnd"/>
          <c:showLegendKey val="0"/>
          <c:showVal val="1"/>
          <c:showCatName val="0"/>
          <c:showSerName val="0"/>
          <c:showPercent val="0"/>
          <c:showBubbleSize val="0"/>
        </c:dLbls>
        <c:gapWidth val="219"/>
        <c:overlap val="-27"/>
        <c:axId val="574575631"/>
        <c:axId val="574578511"/>
      </c:barChart>
      <c:catAx>
        <c:axId val="57457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574578511"/>
        <c:crosses val="autoZero"/>
        <c:auto val="1"/>
        <c:lblAlgn val="ctr"/>
        <c:lblOffset val="100"/>
        <c:noMultiLvlLbl val="0"/>
      </c:catAx>
      <c:valAx>
        <c:axId val="574578511"/>
        <c:scaling>
          <c:orientation val="minMax"/>
        </c:scaling>
        <c:delete val="0"/>
        <c:axPos val="l"/>
        <c:majorGridlines>
          <c:spPr>
            <a:ln w="9525" cap="flat" cmpd="sng" algn="ctr">
              <a:solidFill>
                <a:schemeClr val="tx1">
                  <a:lumMod val="15000"/>
                  <a:lumOff val="85000"/>
                </a:schemeClr>
              </a:solidFill>
              <a:round/>
            </a:ln>
            <a:effectLst/>
          </c:spPr>
        </c:majorGridlines>
        <c:numFmt formatCode="[$₹-4009]\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574575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[Retail_Sales_Dashboard.xlsx]Sheet6!Discount</c:name>
    <c:fmtId val="1"/>
  </c:pivotSource>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IN" b="1">
                <a:solidFill>
                  <a:schemeClr val="tx1">
                    <a:lumMod val="85000"/>
                    <a:lumOff val="15000"/>
                  </a:schemeClr>
                </a:solidFill>
              </a:rPr>
              <a:t>Discount</a:t>
            </a:r>
            <a:r>
              <a:rPr lang="en-IN" b="1" baseline="0">
                <a:solidFill>
                  <a:schemeClr val="tx1">
                    <a:lumMod val="85000"/>
                    <a:lumOff val="15000"/>
                  </a:schemeClr>
                </a:solidFill>
              </a:rPr>
              <a:t> Impact on Profit Margin</a:t>
            </a:r>
            <a:endParaRPr lang="en-IN" b="1">
              <a:solidFill>
                <a:schemeClr val="tx1">
                  <a:lumMod val="85000"/>
                  <a:lumOff val="15000"/>
                </a:schemeClr>
              </a:solidFill>
            </a:endParaRPr>
          </a:p>
        </c:rich>
      </c:tx>
      <c:layout>
        <c:manualLayout>
          <c:xMode val="edge"/>
          <c:yMode val="edge"/>
          <c:x val="1.971261928831353E-2"/>
          <c:y val="1.581628205287868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2.4805104148234651E-3"/>
              <c:y val="1.1862211539659016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0517195212432899E-2"/>
              <c:y val="-7.51273397511737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7129697881644103E-2"/>
              <c:y val="-5.14029166718557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4805104148233739E-2"/>
              <c:y val="-4.74488461586360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2.4805104148233739E-2"/>
              <c:y val="3.9540705132196721E-3"/>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4805104148233784E-2"/>
              <c:y val="-3.95407051321967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4.9610208296467492E-2"/>
              <c:y val="1.581628205287865E-2"/>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7363572903763641E-2"/>
              <c:y val="-3.95407051321967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layout>
            <c:manualLayout>
              <c:x val="1.1131431085704569E-2"/>
              <c:y val="0"/>
            </c:manualLayout>
          </c:layout>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51368343395292"/>
          <c:y val="0.15851868687497664"/>
          <c:w val="0.66221321774174813"/>
          <c:h val="0.66590750588440417"/>
        </c:manualLayout>
      </c:layout>
      <c:barChart>
        <c:barDir val="col"/>
        <c:grouping val="clustered"/>
        <c:varyColors val="0"/>
        <c:ser>
          <c:idx val="1"/>
          <c:order val="1"/>
          <c:tx>
            <c:strRef>
              <c:f>Sheet6!$G$16</c:f>
              <c:strCache>
                <c:ptCount val="1"/>
                <c:pt idx="0">
                  <c:v>Sum of Net_Sales_INR</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8-A0AC-42B9-A9F2-5645E29322C1}"/>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6-A0AC-42B9-A9F2-5645E29322C1}"/>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2-A0AC-42B9-A9F2-5645E29322C1}"/>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A-A0AC-42B9-A9F2-5645E29322C1}"/>
              </c:ext>
            </c:extLst>
          </c:dPt>
          <c:dLbls>
            <c:dLbl>
              <c:idx val="0"/>
              <c:layout>
                <c:manualLayout>
                  <c:x val="-4.9610208296467492E-2"/>
                  <c:y val="1.5816282052878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0AC-42B9-A9F2-5645E29322C1}"/>
                </c:ext>
              </c:extLst>
            </c:dLbl>
            <c:dLbl>
              <c:idx val="1"/>
              <c:layout>
                <c:manualLayout>
                  <c:x val="-2.4805104148233739E-2"/>
                  <c:y val="3.954070513219672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0AC-42B9-A9F2-5645E29322C1}"/>
                </c:ext>
              </c:extLst>
            </c:dLbl>
            <c:dLbl>
              <c:idx val="2"/>
              <c:layout>
                <c:manualLayout>
                  <c:x val="2.4805104148234651E-3"/>
                  <c:y val="1.18622115396590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0AC-42B9-A9F2-5645E29322C1}"/>
                </c:ext>
              </c:extLst>
            </c:dLbl>
            <c:dLbl>
              <c:idx val="3"/>
              <c:layout>
                <c:manualLayout>
                  <c:x val="1.113143108570456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0AC-42B9-A9F2-5645E29322C1}"/>
                </c:ext>
              </c:extLst>
            </c:dLbl>
            <c:numFmt formatCode="[$₹-4009]\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Sheet6!$E$17:$E$22</c:f>
              <c:strCache>
                <c:ptCount val="5"/>
                <c:pt idx="0">
                  <c:v>0</c:v>
                </c:pt>
                <c:pt idx="1">
                  <c:v>5</c:v>
                </c:pt>
                <c:pt idx="2">
                  <c:v>10</c:v>
                </c:pt>
                <c:pt idx="3">
                  <c:v>15</c:v>
                </c:pt>
                <c:pt idx="4">
                  <c:v>20</c:v>
                </c:pt>
              </c:strCache>
            </c:strRef>
          </c:cat>
          <c:val>
            <c:numRef>
              <c:f>Sheet6!$G$17:$G$22</c:f>
              <c:numCache>
                <c:formatCode>#,##0.00</c:formatCode>
                <c:ptCount val="5"/>
                <c:pt idx="0">
                  <c:v>193514590</c:v>
                </c:pt>
                <c:pt idx="1">
                  <c:v>126816091.84999995</c:v>
                </c:pt>
                <c:pt idx="2">
                  <c:v>63034436.700000003</c:v>
                </c:pt>
                <c:pt idx="3">
                  <c:v>63094496.999999993</c:v>
                </c:pt>
                <c:pt idx="4">
                  <c:v>43523019.199999996</c:v>
                </c:pt>
              </c:numCache>
            </c:numRef>
          </c:val>
          <c:extLst>
            <c:ext xmlns:c16="http://schemas.microsoft.com/office/drawing/2014/chart" uri="{C3380CC4-5D6E-409C-BE32-E72D297353CC}">
              <c16:uniqueId val="{00000000-A0AC-42B9-A9F2-5645E29322C1}"/>
            </c:ext>
          </c:extLst>
        </c:ser>
        <c:dLbls>
          <c:showLegendKey val="0"/>
          <c:showVal val="1"/>
          <c:showCatName val="0"/>
          <c:showSerName val="0"/>
          <c:showPercent val="0"/>
          <c:showBubbleSize val="0"/>
        </c:dLbls>
        <c:gapWidth val="219"/>
        <c:overlap val="-27"/>
        <c:axId val="574574191"/>
        <c:axId val="574587151"/>
      </c:barChart>
      <c:lineChart>
        <c:grouping val="standard"/>
        <c:varyColors val="0"/>
        <c:ser>
          <c:idx val="0"/>
          <c:order val="0"/>
          <c:tx>
            <c:strRef>
              <c:f>Sheet6!$F$16</c:f>
              <c:strCache>
                <c:ptCount val="1"/>
                <c:pt idx="0">
                  <c:v>Average of Profit_Margin_Pct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9-A0AC-42B9-A9F2-5645E29322C1}"/>
              </c:ext>
            </c:extLst>
          </c:dPt>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7-A0AC-42B9-A9F2-5645E29322C1}"/>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A0AC-42B9-A9F2-5645E29322C1}"/>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4-A0AC-42B9-A9F2-5645E29322C1}"/>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A0AC-42B9-A9F2-5645E29322C1}"/>
              </c:ext>
            </c:extLst>
          </c:dPt>
          <c:dLbls>
            <c:dLbl>
              <c:idx val="0"/>
              <c:layout>
                <c:manualLayout>
                  <c:x val="-1.7363572903763641E-2"/>
                  <c:y val="-3.95407051321967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0AC-42B9-A9F2-5645E29322C1}"/>
                </c:ext>
              </c:extLst>
            </c:dLbl>
            <c:dLbl>
              <c:idx val="1"/>
              <c:layout>
                <c:manualLayout>
                  <c:x val="-2.4805104148233784E-2"/>
                  <c:y val="-3.95407051321967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0AC-42B9-A9F2-5645E29322C1}"/>
                </c:ext>
              </c:extLst>
            </c:dLbl>
            <c:dLbl>
              <c:idx val="2"/>
              <c:layout>
                <c:manualLayout>
                  <c:x val="-5.0517195212432899E-2"/>
                  <c:y val="-7.51273397511737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AC-42B9-A9F2-5645E29322C1}"/>
                </c:ext>
              </c:extLst>
            </c:dLbl>
            <c:dLbl>
              <c:idx val="3"/>
              <c:layout>
                <c:manualLayout>
                  <c:x val="-4.7129697881644103E-2"/>
                  <c:y val="-5.14029166718557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0AC-42B9-A9F2-5645E29322C1}"/>
                </c:ext>
              </c:extLst>
            </c:dLbl>
            <c:dLbl>
              <c:idx val="4"/>
              <c:layout>
                <c:manualLayout>
                  <c:x val="-2.4805104148233739E-2"/>
                  <c:y val="-4.74488461586360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0AC-42B9-A9F2-5645E29322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Sheet6!$E$17:$E$22</c:f>
              <c:strCache>
                <c:ptCount val="5"/>
                <c:pt idx="0">
                  <c:v>0</c:v>
                </c:pt>
                <c:pt idx="1">
                  <c:v>5</c:v>
                </c:pt>
                <c:pt idx="2">
                  <c:v>10</c:v>
                </c:pt>
                <c:pt idx="3">
                  <c:v>15</c:v>
                </c:pt>
                <c:pt idx="4">
                  <c:v>20</c:v>
                </c:pt>
              </c:strCache>
            </c:strRef>
          </c:cat>
          <c:val>
            <c:numRef>
              <c:f>Sheet6!$F$17:$F$22</c:f>
              <c:numCache>
                <c:formatCode>0.00</c:formatCode>
                <c:ptCount val="5"/>
                <c:pt idx="0">
                  <c:v>37.586155606407317</c:v>
                </c:pt>
                <c:pt idx="1">
                  <c:v>37.461174496644325</c:v>
                </c:pt>
                <c:pt idx="2">
                  <c:v>37.248571428571424</c:v>
                </c:pt>
                <c:pt idx="3">
                  <c:v>37.510503144654074</c:v>
                </c:pt>
                <c:pt idx="4">
                  <c:v>37.291184210526303</c:v>
                </c:pt>
              </c:numCache>
            </c:numRef>
          </c:val>
          <c:smooth val="0"/>
          <c:extLst>
            <c:ext xmlns:c16="http://schemas.microsoft.com/office/drawing/2014/chart" uri="{C3380CC4-5D6E-409C-BE32-E72D297353CC}">
              <c16:uniqueId val="{00000001-A0AC-42B9-A9F2-5645E29322C1}"/>
            </c:ext>
          </c:extLst>
        </c:ser>
        <c:dLbls>
          <c:showLegendKey val="0"/>
          <c:showVal val="1"/>
          <c:showCatName val="0"/>
          <c:showSerName val="0"/>
          <c:showPercent val="0"/>
          <c:showBubbleSize val="0"/>
        </c:dLbls>
        <c:marker val="1"/>
        <c:smooth val="0"/>
        <c:axId val="574571791"/>
        <c:axId val="574567951"/>
      </c:lineChart>
      <c:catAx>
        <c:axId val="574571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2">
                        <a:lumMod val="10000"/>
                      </a:schemeClr>
                    </a:solidFill>
                    <a:latin typeface="+mn-lt"/>
                    <a:ea typeface="+mn-ea"/>
                    <a:cs typeface="+mn-cs"/>
                  </a:defRPr>
                </a:pPr>
                <a:r>
                  <a:rPr lang="en-IN">
                    <a:solidFill>
                      <a:schemeClr val="bg2">
                        <a:lumMod val="10000"/>
                      </a:schemeClr>
                    </a:solidFill>
                  </a:rPr>
                  <a:t>Discount</a:t>
                </a:r>
                <a:r>
                  <a:rPr lang="en-IN" baseline="0">
                    <a:solidFill>
                      <a:schemeClr val="bg2">
                        <a:lumMod val="10000"/>
                      </a:schemeClr>
                    </a:solidFill>
                  </a:rPr>
                  <a:t> (%)</a:t>
                </a:r>
                <a:endParaRPr lang="en-IN">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2">
                      <a:lumMod val="10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574567951"/>
        <c:crosses val="autoZero"/>
        <c:auto val="1"/>
        <c:lblAlgn val="ctr"/>
        <c:lblOffset val="100"/>
        <c:noMultiLvlLbl val="0"/>
      </c:catAx>
      <c:valAx>
        <c:axId val="5745679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2">
                        <a:lumMod val="10000"/>
                      </a:schemeClr>
                    </a:solidFill>
                    <a:latin typeface="+mn-lt"/>
                    <a:ea typeface="+mn-ea"/>
                    <a:cs typeface="+mn-cs"/>
                  </a:defRPr>
                </a:pPr>
                <a:r>
                  <a:rPr lang="en-IN">
                    <a:solidFill>
                      <a:schemeClr val="bg2">
                        <a:lumMod val="10000"/>
                      </a:schemeClr>
                    </a:solidFill>
                  </a:rPr>
                  <a:t>Profit</a:t>
                </a:r>
                <a:r>
                  <a:rPr lang="en-IN" baseline="0">
                    <a:solidFill>
                      <a:schemeClr val="bg2">
                        <a:lumMod val="10000"/>
                      </a:schemeClr>
                    </a:solidFill>
                  </a:rPr>
                  <a:t> Margin (%)</a:t>
                </a:r>
                <a:endParaRPr lang="en-IN">
                  <a:solidFill>
                    <a:schemeClr val="bg2">
                      <a:lumMod val="10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2">
                      <a:lumMod val="10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574571791"/>
        <c:crosses val="autoZero"/>
        <c:crossBetween val="between"/>
      </c:valAx>
      <c:valAx>
        <c:axId val="574587151"/>
        <c:scaling>
          <c:orientation val="minMax"/>
        </c:scaling>
        <c:delete val="0"/>
        <c:axPos val="r"/>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chemeClr val="bg2">
                        <a:lumMod val="10000"/>
                      </a:schemeClr>
                    </a:solidFill>
                    <a:latin typeface="+mn-lt"/>
                    <a:ea typeface="+mn-ea"/>
                    <a:cs typeface="+mn-cs"/>
                  </a:defRPr>
                </a:pPr>
                <a:r>
                  <a:rPr lang="en-IN" sz="1000" b="0" i="0" u="none" strike="noStrike" kern="1200" baseline="0">
                    <a:solidFill>
                      <a:schemeClr val="bg2">
                        <a:lumMod val="10000"/>
                      </a:schemeClr>
                    </a:solidFill>
                  </a:rPr>
                  <a:t>Net Sales</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chemeClr val="bg2">
                      <a:lumMod val="10000"/>
                    </a:schemeClr>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574574191"/>
        <c:crosses val="max"/>
        <c:crossBetween val="between"/>
      </c:valAx>
      <c:catAx>
        <c:axId val="574574191"/>
        <c:scaling>
          <c:orientation val="minMax"/>
        </c:scaling>
        <c:delete val="1"/>
        <c:axPos val="b"/>
        <c:numFmt formatCode="General" sourceLinked="1"/>
        <c:majorTickMark val="out"/>
        <c:minorTickMark val="none"/>
        <c:tickLblPos val="nextTo"/>
        <c:crossAx val="574587151"/>
        <c:crosses val="autoZero"/>
        <c:auto val="1"/>
        <c:lblAlgn val="ctr"/>
        <c:lblOffset val="100"/>
        <c:noMultiLvlLbl val="0"/>
      </c:catAx>
      <c:spPr>
        <a:noFill/>
        <a:ln>
          <a:noFill/>
        </a:ln>
        <a:effectLst/>
      </c:spPr>
    </c:plotArea>
    <c:legend>
      <c:legendPos val="r"/>
      <c:layout>
        <c:manualLayout>
          <c:xMode val="edge"/>
          <c:yMode val="edge"/>
          <c:x val="0.58235823744635029"/>
          <c:y val="2.4586846332988787E-3"/>
          <c:w val="0.40943083679218784"/>
          <c:h val="0.109726390774250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440638</xdr:colOff>
      <xdr:row>8</xdr:row>
      <xdr:rowOff>119529</xdr:rowOff>
    </xdr:from>
    <xdr:to>
      <xdr:col>9</xdr:col>
      <xdr:colOff>439269</xdr:colOff>
      <xdr:row>22</xdr:row>
      <xdr:rowOff>85464</xdr:rowOff>
    </xdr:to>
    <xdr:graphicFrame macro="">
      <xdr:nvGraphicFramePr>
        <xdr:cNvPr id="2" name="Chart 1">
          <a:extLst>
            <a:ext uri="{FF2B5EF4-FFF2-40B4-BE49-F238E27FC236}">
              <a16:creationId xmlns:a16="http://schemas.microsoft.com/office/drawing/2014/main" id="{05F005AC-7CA3-4D49-B506-22B79BFFA3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446918</xdr:colOff>
      <xdr:row>23</xdr:row>
      <xdr:rowOff>18361</xdr:rowOff>
    </xdr:from>
    <xdr:to>
      <xdr:col>11</xdr:col>
      <xdr:colOff>403411</xdr:colOff>
      <xdr:row>38</xdr:row>
      <xdr:rowOff>67234</xdr:rowOff>
    </xdr:to>
    <xdr:graphicFrame macro="">
      <xdr:nvGraphicFramePr>
        <xdr:cNvPr id="3" name="Chart 4">
          <a:extLst>
            <a:ext uri="{FF2B5EF4-FFF2-40B4-BE49-F238E27FC236}">
              <a16:creationId xmlns:a16="http://schemas.microsoft.com/office/drawing/2014/main" id="{60E3D182-99A8-4FBC-AAD9-EAA4E214B1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493058</xdr:colOff>
      <xdr:row>23</xdr:row>
      <xdr:rowOff>14941</xdr:rowOff>
    </xdr:from>
    <xdr:to>
      <xdr:col>20</xdr:col>
      <xdr:colOff>570122</xdr:colOff>
      <xdr:row>38</xdr:row>
      <xdr:rowOff>76098</xdr:rowOff>
    </xdr:to>
    <xdr:graphicFrame macro="">
      <xdr:nvGraphicFramePr>
        <xdr:cNvPr id="4" name="Chart 3">
          <a:extLst>
            <a:ext uri="{FF2B5EF4-FFF2-40B4-BE49-F238E27FC236}">
              <a16:creationId xmlns:a16="http://schemas.microsoft.com/office/drawing/2014/main" id="{137BE96B-945E-40E6-A1EB-7C343FADD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430173</xdr:colOff>
      <xdr:row>8</xdr:row>
      <xdr:rowOff>118532</xdr:rowOff>
    </xdr:from>
    <xdr:to>
      <xdr:col>20</xdr:col>
      <xdr:colOff>574677</xdr:colOff>
      <xdr:row>22</xdr:row>
      <xdr:rowOff>76200</xdr:rowOff>
    </xdr:to>
    <xdr:graphicFrame macro="">
      <xdr:nvGraphicFramePr>
        <xdr:cNvPr id="5" name="Chart 2">
          <a:extLst>
            <a:ext uri="{FF2B5EF4-FFF2-40B4-BE49-F238E27FC236}">
              <a16:creationId xmlns:a16="http://schemas.microsoft.com/office/drawing/2014/main" id="{387CA913-FA3C-4E88-A5B4-C92AC7F179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474133</xdr:colOff>
      <xdr:row>8</xdr:row>
      <xdr:rowOff>118531</xdr:rowOff>
    </xdr:from>
    <xdr:to>
      <xdr:col>15</xdr:col>
      <xdr:colOff>397933</xdr:colOff>
      <xdr:row>22</xdr:row>
      <xdr:rowOff>76199</xdr:rowOff>
    </xdr:to>
    <xdr:graphicFrame macro="">
      <xdr:nvGraphicFramePr>
        <xdr:cNvPr id="6" name="Chart 5">
          <a:extLst>
            <a:ext uri="{FF2B5EF4-FFF2-40B4-BE49-F238E27FC236}">
              <a16:creationId xmlns:a16="http://schemas.microsoft.com/office/drawing/2014/main" id="{5A8E5C7A-2BD0-4538-A716-8FBD68F839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77492</xdr:colOff>
      <xdr:row>9</xdr:row>
      <xdr:rowOff>1674</xdr:rowOff>
    </xdr:from>
    <xdr:to>
      <xdr:col>2</xdr:col>
      <xdr:colOff>333828</xdr:colOff>
      <xdr:row>16</xdr:row>
      <xdr:rowOff>130628</xdr:rowOff>
    </xdr:to>
    <mc:AlternateContent xmlns:mc="http://schemas.openxmlformats.org/markup-compatibility/2006" xmlns:a14="http://schemas.microsoft.com/office/drawing/2010/main">
      <mc:Choice Requires="a14">
        <xdr:graphicFrame macro="">
          <xdr:nvGraphicFramePr>
            <xdr:cNvPr id="8" name="Quarter">
              <a:extLst>
                <a:ext uri="{FF2B5EF4-FFF2-40B4-BE49-F238E27FC236}">
                  <a16:creationId xmlns:a16="http://schemas.microsoft.com/office/drawing/2014/main" id="{8A1A27DB-94B0-919E-A0FB-470C996C0991}"/>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77492" y="1590723"/>
              <a:ext cx="1482970" cy="14299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72572</xdr:colOff>
      <xdr:row>18</xdr:row>
      <xdr:rowOff>50392</xdr:rowOff>
    </xdr:from>
    <xdr:to>
      <xdr:col>2</xdr:col>
      <xdr:colOff>326572</xdr:colOff>
      <xdr:row>26</xdr:row>
      <xdr:rowOff>22509</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E03B6D22-4288-6A76-3327-DB46239AC16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2572" y="3312124"/>
              <a:ext cx="1480634" cy="14589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87085</xdr:colOff>
      <xdr:row>28</xdr:row>
      <xdr:rowOff>25067</xdr:rowOff>
    </xdr:from>
    <xdr:to>
      <xdr:col>2</xdr:col>
      <xdr:colOff>341086</xdr:colOff>
      <xdr:row>37</xdr:row>
      <xdr:rowOff>116114</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40981106-E7EA-FDE8-D2A8-1415AA842F3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7085" y="5145335"/>
              <a:ext cx="1480635" cy="17637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22858</xdr:colOff>
      <xdr:row>1</xdr:row>
      <xdr:rowOff>175258</xdr:rowOff>
    </xdr:from>
    <xdr:to>
      <xdr:col>10</xdr:col>
      <xdr:colOff>396240</xdr:colOff>
      <xdr:row>19</xdr:row>
      <xdr:rowOff>106680</xdr:rowOff>
    </xdr:to>
    <xdr:graphicFrame macro="">
      <xdr:nvGraphicFramePr>
        <xdr:cNvPr id="6" name="Chart 5">
          <a:extLst>
            <a:ext uri="{FF2B5EF4-FFF2-40B4-BE49-F238E27FC236}">
              <a16:creationId xmlns:a16="http://schemas.microsoft.com/office/drawing/2014/main" id="{E76B8476-FEF1-43F1-8AAC-A619EEC7B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9</xdr:row>
      <xdr:rowOff>182689</xdr:rowOff>
    </xdr:from>
    <xdr:to>
      <xdr:col>5</xdr:col>
      <xdr:colOff>327660</xdr:colOff>
      <xdr:row>23</xdr:row>
      <xdr:rowOff>99060</xdr:rowOff>
    </xdr:to>
    <xdr:graphicFrame macro="">
      <xdr:nvGraphicFramePr>
        <xdr:cNvPr id="2" name="Chart 1">
          <a:extLst>
            <a:ext uri="{FF2B5EF4-FFF2-40B4-BE49-F238E27FC236}">
              <a16:creationId xmlns:a16="http://schemas.microsoft.com/office/drawing/2014/main" id="{0DC24896-1ECC-ED81-3395-BF73FF8C40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868686</xdr:colOff>
      <xdr:row>10</xdr:row>
      <xdr:rowOff>167640</xdr:rowOff>
    </xdr:from>
    <xdr:to>
      <xdr:col>9</xdr:col>
      <xdr:colOff>205740</xdr:colOff>
      <xdr:row>27</xdr:row>
      <xdr:rowOff>22860</xdr:rowOff>
    </xdr:to>
    <xdr:graphicFrame macro="">
      <xdr:nvGraphicFramePr>
        <xdr:cNvPr id="2" name="Chart 2">
          <a:extLst>
            <a:ext uri="{FF2B5EF4-FFF2-40B4-BE49-F238E27FC236}">
              <a16:creationId xmlns:a16="http://schemas.microsoft.com/office/drawing/2014/main" id="{D9CCBADC-7BB7-577B-2EE8-383B038B21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465667</xdr:colOff>
      <xdr:row>3</xdr:row>
      <xdr:rowOff>138965</xdr:rowOff>
    </xdr:from>
    <xdr:to>
      <xdr:col>16</xdr:col>
      <xdr:colOff>84667</xdr:colOff>
      <xdr:row>24</xdr:row>
      <xdr:rowOff>67733</xdr:rowOff>
    </xdr:to>
    <xdr:graphicFrame macro="">
      <xdr:nvGraphicFramePr>
        <xdr:cNvPr id="2" name="Chart 3">
          <a:extLst>
            <a:ext uri="{FF2B5EF4-FFF2-40B4-BE49-F238E27FC236}">
              <a16:creationId xmlns:a16="http://schemas.microsoft.com/office/drawing/2014/main" id="{7DB49E0A-AAC5-B7B9-C340-6325FEDAA7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312420</xdr:colOff>
      <xdr:row>4</xdr:row>
      <xdr:rowOff>137160</xdr:rowOff>
    </xdr:from>
    <xdr:to>
      <xdr:col>13</xdr:col>
      <xdr:colOff>419100</xdr:colOff>
      <xdr:row>24</xdr:row>
      <xdr:rowOff>30481</xdr:rowOff>
    </xdr:to>
    <xdr:graphicFrame macro="">
      <xdr:nvGraphicFramePr>
        <xdr:cNvPr id="2" name="Chart 4">
          <a:extLst>
            <a:ext uri="{FF2B5EF4-FFF2-40B4-BE49-F238E27FC236}">
              <a16:creationId xmlns:a16="http://schemas.microsoft.com/office/drawing/2014/main" id="{E8F9666C-66B0-406C-3FFB-C2737AADB8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06.441120254633" createdVersion="8" refreshedVersion="8" minRefreshableVersion="3" recordCount="1200" xr:uid="{A7AC7F26-991F-4A37-8EC8-0FC7DC8CA1B0}">
  <cacheSource type="worksheet">
    <worksheetSource ref="A1:P1201" sheet="Sales_Data"/>
  </cacheSource>
  <cacheFields count="16">
    <cacheField name="Order_ID" numFmtId="0">
      <sharedItems containsSemiMixedTypes="0" containsString="0" containsNumber="1" containsInteger="1" minValue="1001" maxValue="2200"/>
    </cacheField>
    <cacheField name="Date" numFmtId="0">
      <sharedItems/>
    </cacheField>
    <cacheField name="Month" numFmtId="0">
      <sharedItems count="12">
        <s v="Jul"/>
        <s v="Feb"/>
        <s v="Aug"/>
        <s v="Oct"/>
        <s v="Dec"/>
        <s v="Mar"/>
        <s v="May"/>
        <s v="Apr"/>
        <s v="Jan"/>
        <s v="Sep"/>
        <s v="Nov"/>
        <s v="Jun"/>
      </sharedItems>
    </cacheField>
    <cacheField name="Quarter" numFmtId="0">
      <sharedItems count="4">
        <s v="Q3"/>
        <s v="Q1"/>
        <s v="Q4"/>
        <s v="Q2"/>
      </sharedItems>
    </cacheField>
    <cacheField name="Region" numFmtId="0">
      <sharedItems count="4">
        <s v="South"/>
        <s v="North"/>
        <s v="East"/>
        <s v="West"/>
      </sharedItems>
    </cacheField>
    <cacheField name="Category" numFmtId="0">
      <sharedItems count="5">
        <s v="Food &amp; Beverages"/>
        <s v="Electronics"/>
        <s v="Furniture"/>
        <s v="Clothing"/>
        <s v="Sports"/>
      </sharedItems>
    </cacheField>
    <cacheField name="Product" numFmtId="0">
      <sharedItems/>
    </cacheField>
    <cacheField name="Units_Sold" numFmtId="0">
      <sharedItems containsSemiMixedTypes="0" containsString="0" containsNumber="1" containsInteger="1" minValue="16" maxValue="231"/>
    </cacheField>
    <cacheField name="Unit_Price_INR" numFmtId="4">
      <sharedItems containsSemiMixedTypes="0" containsString="0" containsNumber="1" containsInteger="1" minValue="73" maxValue="19776"/>
    </cacheField>
    <cacheField name="Total_Sales_INR" numFmtId="4">
      <sharedItems containsSemiMixedTypes="0" containsString="0" containsNumber="1" containsInteger="1" minValue="2160" maxValue="2932006"/>
    </cacheField>
    <cacheField name="Discount_Pct" numFmtId="0">
      <sharedItems containsSemiMixedTypes="0" containsString="0" containsNumber="1" containsInteger="1" minValue="0" maxValue="20" count="5">
        <n v="5"/>
        <n v="15"/>
        <n v="20"/>
        <n v="0"/>
        <n v="10"/>
      </sharedItems>
    </cacheField>
    <cacheField name="Net_Sales_INR" numFmtId="4">
      <sharedItems containsSemiMixedTypes="0" containsString="0" containsNumber="1" minValue="1944" maxValue="2807244"/>
    </cacheField>
    <cacheField name="COGS_INR" numFmtId="4">
      <sharedItems containsSemiMixedTypes="0" containsString="0" containsNumber="1" minValue="1086.83" maxValue="1770186.68"/>
    </cacheField>
    <cacheField name="Profit_INR" numFmtId="4">
      <sharedItems containsSemiMixedTypes="0" containsString="0" containsNumber="1" minValue="857.17" maxValue="1166488.29"/>
    </cacheField>
    <cacheField name="Profit_Margin_Pct" numFmtId="2">
      <sharedItems containsSemiMixedTypes="0" containsString="0" containsNumber="1" minValue="30" maxValue="44.95"/>
    </cacheField>
    <cacheField name="Salesperson" numFmtId="0">
      <sharedItems count="8">
        <s v="Rohan Das"/>
        <s v="Priya Sharma"/>
        <s v="Kavitha Nair"/>
        <s v="Ananya Patel"/>
        <s v="Arjun Mehta"/>
        <s v="Sneha Iyer"/>
        <s v="Vikram Singh"/>
        <s v="Rahul Gupta"/>
      </sharedItems>
    </cacheField>
  </cacheFields>
  <extLst>
    <ext xmlns:x14="http://schemas.microsoft.com/office/spreadsheetml/2009/9/main" uri="{725AE2AE-9491-48be-B2B4-4EB974FC3084}">
      <x14:pivotCacheDefinition pivotCacheId="13928523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643"/>
    <s v="23-Jul-2024"/>
    <x v="0"/>
    <x v="0"/>
    <x v="0"/>
    <x v="0"/>
    <s v="Dairy Products"/>
    <n v="48"/>
    <n v="120"/>
    <n v="5760"/>
    <x v="0"/>
    <n v="5472"/>
    <n v="3748.06"/>
    <n v="1723.94"/>
    <n v="31.5"/>
    <x v="0"/>
  </r>
  <r>
    <n v="1102"/>
    <s v="13-Feb-2024"/>
    <x v="1"/>
    <x v="1"/>
    <x v="1"/>
    <x v="1"/>
    <s v="Smartphone"/>
    <n v="52"/>
    <n v="8722"/>
    <n v="453544"/>
    <x v="1"/>
    <n v="385512.4"/>
    <n v="226619.89"/>
    <n v="158892.51"/>
    <n v="41.22"/>
    <x v="1"/>
  </r>
  <r>
    <n v="1714"/>
    <s v="23-Aug-2024"/>
    <x v="2"/>
    <x v="0"/>
    <x v="1"/>
    <x v="2"/>
    <s v="Bed Frame"/>
    <n v="135"/>
    <n v="10522"/>
    <n v="1420470"/>
    <x v="2"/>
    <n v="1136376"/>
    <n v="724349.86"/>
    <n v="412026.14"/>
    <n v="36.26"/>
    <x v="0"/>
  </r>
  <r>
    <n v="1933"/>
    <s v="27-Oct-2024"/>
    <x v="3"/>
    <x v="2"/>
    <x v="0"/>
    <x v="3"/>
    <s v="Jackets"/>
    <n v="24"/>
    <n v="2078"/>
    <n v="49872"/>
    <x v="3"/>
    <n v="49872"/>
    <n v="29712.13"/>
    <n v="20159.87"/>
    <n v="40.42"/>
    <x v="2"/>
  </r>
  <r>
    <n v="1111"/>
    <s v="13-Feb-2024"/>
    <x v="1"/>
    <x v="1"/>
    <x v="1"/>
    <x v="2"/>
    <s v="Sofa"/>
    <n v="60"/>
    <n v="17742"/>
    <n v="1064520"/>
    <x v="4"/>
    <n v="958068"/>
    <n v="536847.18999999994"/>
    <n v="421220.81"/>
    <n v="43.97"/>
    <x v="3"/>
  </r>
  <r>
    <n v="1658"/>
    <s v="23-Jul-2024"/>
    <x v="0"/>
    <x v="0"/>
    <x v="2"/>
    <x v="3"/>
    <s v="Jackets"/>
    <n v="123"/>
    <n v="1961"/>
    <n v="241203"/>
    <x v="2"/>
    <n v="192962.4"/>
    <n v="117224.17"/>
    <n v="75738.23"/>
    <n v="39.25"/>
    <x v="4"/>
  </r>
  <r>
    <n v="1986"/>
    <s v="27-Oct-2024"/>
    <x v="3"/>
    <x v="2"/>
    <x v="3"/>
    <x v="2"/>
    <s v="Sofa"/>
    <n v="43"/>
    <n v="19294"/>
    <n v="829642"/>
    <x v="4"/>
    <n v="746677.8"/>
    <n v="469703.58"/>
    <n v="276974.21999999997"/>
    <n v="37.090000000000003"/>
    <x v="5"/>
  </r>
  <r>
    <n v="2173"/>
    <s v="15-Dec-2024"/>
    <x v="4"/>
    <x v="2"/>
    <x v="2"/>
    <x v="4"/>
    <s v="Yoga Mat"/>
    <n v="75"/>
    <n v="862"/>
    <n v="64650"/>
    <x v="1"/>
    <n v="54952.5"/>
    <n v="36848.550000000003"/>
    <n v="18103.95"/>
    <n v="32.94"/>
    <x v="6"/>
  </r>
  <r>
    <n v="1199"/>
    <s v="13-Feb-2024"/>
    <x v="1"/>
    <x v="1"/>
    <x v="3"/>
    <x v="4"/>
    <s v="Dumbbells"/>
    <n v="23"/>
    <n v="1910"/>
    <n v="43930"/>
    <x v="3"/>
    <n v="43930"/>
    <n v="30415.01"/>
    <n v="13514.99"/>
    <n v="30.76"/>
    <x v="2"/>
  </r>
  <r>
    <n v="1277"/>
    <s v="08-Mar-2024"/>
    <x v="5"/>
    <x v="1"/>
    <x v="3"/>
    <x v="1"/>
    <s v="Smartphone"/>
    <n v="115"/>
    <n v="8078"/>
    <n v="928970"/>
    <x v="1"/>
    <n v="789624.5"/>
    <n v="447462.86"/>
    <n v="342161.64"/>
    <n v="43.33"/>
    <x v="6"/>
  </r>
  <r>
    <n v="1418"/>
    <s v="26-May-2024"/>
    <x v="6"/>
    <x v="3"/>
    <x v="1"/>
    <x v="0"/>
    <s v="Dairy Products"/>
    <n v="101"/>
    <n v="128"/>
    <n v="12928"/>
    <x v="3"/>
    <n v="12928"/>
    <n v="8943.31"/>
    <n v="3984.69"/>
    <n v="30.82"/>
    <x v="4"/>
  </r>
  <r>
    <n v="1381"/>
    <s v="08-Apr-2024"/>
    <x v="7"/>
    <x v="3"/>
    <x v="3"/>
    <x v="3"/>
    <s v="T-Shirts"/>
    <n v="35"/>
    <n v="471"/>
    <n v="16485"/>
    <x v="2"/>
    <n v="13188"/>
    <n v="7433.3"/>
    <n v="5754.7"/>
    <n v="43.64"/>
    <x v="2"/>
  </r>
  <r>
    <n v="1395"/>
    <s v="08-Apr-2024"/>
    <x v="7"/>
    <x v="3"/>
    <x v="3"/>
    <x v="0"/>
    <s v="Condiments"/>
    <n v="72"/>
    <n v="85"/>
    <n v="6120"/>
    <x v="0"/>
    <n v="5814"/>
    <n v="3855.6"/>
    <n v="1958.4"/>
    <n v="33.68"/>
    <x v="4"/>
  </r>
  <r>
    <n v="1764"/>
    <s v="23-Aug-2024"/>
    <x v="2"/>
    <x v="0"/>
    <x v="2"/>
    <x v="2"/>
    <s v="Bed Frame"/>
    <n v="159"/>
    <n v="10103"/>
    <n v="1606377"/>
    <x v="2"/>
    <n v="1285101.6000000001"/>
    <n v="832856.64"/>
    <n v="452244.96"/>
    <n v="35.19"/>
    <x v="7"/>
  </r>
  <r>
    <n v="1091"/>
    <s v="21-Jan-2024"/>
    <x v="8"/>
    <x v="1"/>
    <x v="3"/>
    <x v="0"/>
    <s v="Organic Snacks"/>
    <n v="61"/>
    <n v="209"/>
    <n v="12749"/>
    <x v="0"/>
    <n v="12111.55"/>
    <n v="7154.99"/>
    <n v="4956.5600000000004"/>
    <n v="40.92"/>
    <x v="3"/>
  </r>
  <r>
    <n v="1023"/>
    <s v="21-Jan-2024"/>
    <x v="8"/>
    <x v="1"/>
    <x v="1"/>
    <x v="4"/>
    <s v="Yoga Mat"/>
    <n v="30"/>
    <n v="790"/>
    <n v="23700"/>
    <x v="2"/>
    <n v="18960"/>
    <n v="10437.23"/>
    <n v="8522.77"/>
    <n v="44.95"/>
    <x v="6"/>
  </r>
  <r>
    <n v="1365"/>
    <s v="08-Apr-2024"/>
    <x v="7"/>
    <x v="3"/>
    <x v="2"/>
    <x v="2"/>
    <s v="Office Chair"/>
    <n v="128"/>
    <n v="4686"/>
    <n v="599808"/>
    <x v="0"/>
    <n v="569817.59999999998"/>
    <n v="388337.23"/>
    <n v="181480.37"/>
    <n v="31.85"/>
    <x v="4"/>
  </r>
  <r>
    <n v="1499"/>
    <s v="26-May-2024"/>
    <x v="6"/>
    <x v="3"/>
    <x v="3"/>
    <x v="4"/>
    <s v="Dumbbells"/>
    <n v="100"/>
    <n v="2148"/>
    <n v="214800"/>
    <x v="3"/>
    <n v="214800"/>
    <n v="141690.63"/>
    <n v="73109.37"/>
    <n v="34.04"/>
    <x v="2"/>
  </r>
  <r>
    <n v="1227"/>
    <s v="08-Mar-2024"/>
    <x v="5"/>
    <x v="1"/>
    <x v="0"/>
    <x v="1"/>
    <s v="Smartphone"/>
    <n v="34"/>
    <n v="7699"/>
    <n v="261766"/>
    <x v="4"/>
    <n v="235589.4"/>
    <n v="157026.31"/>
    <n v="78563.09"/>
    <n v="33.35"/>
    <x v="1"/>
  </r>
  <r>
    <n v="1129"/>
    <s v="13-Feb-2024"/>
    <x v="1"/>
    <x v="1"/>
    <x v="0"/>
    <x v="1"/>
    <s v="Headphones"/>
    <n v="65"/>
    <n v="790"/>
    <n v="51350"/>
    <x v="3"/>
    <n v="51350"/>
    <n v="35679.25"/>
    <n v="15670.75"/>
    <n v="30.52"/>
    <x v="6"/>
  </r>
  <r>
    <n v="1160"/>
    <s v="13-Feb-2024"/>
    <x v="1"/>
    <x v="1"/>
    <x v="2"/>
    <x v="3"/>
    <s v="Shoes"/>
    <n v="118"/>
    <n v="1781"/>
    <n v="210158"/>
    <x v="2"/>
    <n v="168126.4"/>
    <n v="101173.19"/>
    <n v="66953.210000000006"/>
    <n v="39.82"/>
    <x v="0"/>
  </r>
  <r>
    <n v="1494"/>
    <s v="26-May-2024"/>
    <x v="6"/>
    <x v="3"/>
    <x v="3"/>
    <x v="0"/>
    <s v="Frozen Foods"/>
    <n v="146"/>
    <n v="165"/>
    <n v="24090"/>
    <x v="3"/>
    <n v="24090"/>
    <n v="15784.1"/>
    <n v="8305.9"/>
    <n v="34.479999999999997"/>
    <x v="7"/>
  </r>
  <r>
    <n v="2146"/>
    <s v="15-Dec-2024"/>
    <x v="4"/>
    <x v="2"/>
    <x v="0"/>
    <x v="4"/>
    <s v="Cricket Bat"/>
    <n v="121"/>
    <n v="1182"/>
    <n v="143022"/>
    <x v="3"/>
    <n v="143022"/>
    <n v="80021.58"/>
    <n v="63000.42"/>
    <n v="44.05"/>
    <x v="3"/>
  </r>
  <r>
    <n v="1616"/>
    <s v="23-Jul-2024"/>
    <x v="0"/>
    <x v="0"/>
    <x v="1"/>
    <x v="0"/>
    <s v="Organic Snacks"/>
    <n v="116"/>
    <n v="214"/>
    <n v="24824"/>
    <x v="2"/>
    <n v="19859.2"/>
    <n v="13654.68"/>
    <n v="6204.52"/>
    <n v="31.24"/>
    <x v="4"/>
  </r>
  <r>
    <n v="1850"/>
    <s v="26-Sep-2024"/>
    <x v="9"/>
    <x v="0"/>
    <x v="0"/>
    <x v="4"/>
    <s v="Cycling Gear"/>
    <n v="33"/>
    <n v="3195"/>
    <n v="105435"/>
    <x v="2"/>
    <n v="84348"/>
    <n v="53330.29"/>
    <n v="31017.71"/>
    <n v="36.770000000000003"/>
    <x v="4"/>
  </r>
  <r>
    <n v="1020"/>
    <s v="21-Jan-2024"/>
    <x v="8"/>
    <x v="1"/>
    <x v="1"/>
    <x v="0"/>
    <s v="Condiments"/>
    <n v="89"/>
    <n v="95"/>
    <n v="8455"/>
    <x v="1"/>
    <n v="7186.75"/>
    <n v="4595.6499999999996"/>
    <n v="2591.1"/>
    <n v="36.049999999999997"/>
    <x v="0"/>
  </r>
  <r>
    <n v="1071"/>
    <s v="21-Jan-2024"/>
    <x v="8"/>
    <x v="1"/>
    <x v="2"/>
    <x v="4"/>
    <s v="Cricket Bat"/>
    <n v="112"/>
    <n v="1143"/>
    <n v="128016"/>
    <x v="0"/>
    <n v="121615.2"/>
    <n v="67586.259999999995"/>
    <n v="54028.94"/>
    <n v="44.43"/>
    <x v="0"/>
  </r>
  <r>
    <n v="1662"/>
    <s v="23-Jul-2024"/>
    <x v="0"/>
    <x v="0"/>
    <x v="2"/>
    <x v="2"/>
    <s v="Dining Table"/>
    <n v="70"/>
    <n v="11498"/>
    <n v="804860"/>
    <x v="4"/>
    <n v="724374"/>
    <n v="445526.07"/>
    <n v="278847.93"/>
    <n v="38.5"/>
    <x v="7"/>
  </r>
  <r>
    <n v="2031"/>
    <s v="03-Nov-2024"/>
    <x v="10"/>
    <x v="2"/>
    <x v="0"/>
    <x v="3"/>
    <s v="T-Shirts"/>
    <n v="154"/>
    <n v="521"/>
    <n v="80234"/>
    <x v="2"/>
    <n v="64187.199999999997"/>
    <n v="36403.67"/>
    <n v="27783.53"/>
    <n v="43.29"/>
    <x v="2"/>
  </r>
  <r>
    <n v="1611"/>
    <s v="23-Jul-2024"/>
    <x v="0"/>
    <x v="0"/>
    <x v="1"/>
    <x v="2"/>
    <s v="Sofa"/>
    <n v="119"/>
    <n v="17048"/>
    <n v="2028712"/>
    <x v="0"/>
    <n v="1927276.4"/>
    <n v="1082827.25"/>
    <n v="844449.15"/>
    <n v="43.82"/>
    <x v="4"/>
  </r>
  <r>
    <n v="1172"/>
    <s v="13-Feb-2024"/>
    <x v="1"/>
    <x v="1"/>
    <x v="2"/>
    <x v="4"/>
    <s v="Football"/>
    <n v="67"/>
    <n v="569"/>
    <n v="38123"/>
    <x v="1"/>
    <n v="32404.55"/>
    <n v="20573.3"/>
    <n v="11831.25"/>
    <n v="36.51"/>
    <x v="7"/>
  </r>
  <r>
    <n v="1554"/>
    <s v="07-Jun-2024"/>
    <x v="11"/>
    <x v="3"/>
    <x v="2"/>
    <x v="1"/>
    <s v="Headphones"/>
    <n v="34"/>
    <n v="752"/>
    <n v="25568"/>
    <x v="3"/>
    <n v="25568"/>
    <n v="14658.43"/>
    <n v="10909.57"/>
    <n v="42.67"/>
    <x v="7"/>
  </r>
  <r>
    <n v="1349"/>
    <s v="08-Apr-2024"/>
    <x v="7"/>
    <x v="3"/>
    <x v="0"/>
    <x v="4"/>
    <s v="Dumbbells"/>
    <n v="88"/>
    <n v="2199"/>
    <n v="193512"/>
    <x v="2"/>
    <n v="154809.60000000001"/>
    <n v="97347.62"/>
    <n v="57461.98"/>
    <n v="37.119999999999997"/>
    <x v="3"/>
  </r>
  <r>
    <n v="1307"/>
    <s v="08-Apr-2024"/>
    <x v="7"/>
    <x v="3"/>
    <x v="1"/>
    <x v="3"/>
    <s v="Jeans"/>
    <n v="143"/>
    <n v="1188"/>
    <n v="169884"/>
    <x v="2"/>
    <n v="135907.20000000001"/>
    <n v="95079.23"/>
    <n v="40827.97"/>
    <n v="30.04"/>
    <x v="3"/>
  </r>
  <r>
    <n v="2064"/>
    <s v="03-Nov-2024"/>
    <x v="10"/>
    <x v="2"/>
    <x v="2"/>
    <x v="2"/>
    <s v="Bed Frame"/>
    <n v="69"/>
    <n v="10469"/>
    <n v="722361"/>
    <x v="4"/>
    <n v="650124.9"/>
    <n v="362866.48"/>
    <n v="287258.42"/>
    <n v="44.19"/>
    <x v="6"/>
  </r>
  <r>
    <n v="2037"/>
    <s v="03-Nov-2024"/>
    <x v="10"/>
    <x v="2"/>
    <x v="0"/>
    <x v="2"/>
    <s v="Dining Table"/>
    <n v="150"/>
    <n v="12996"/>
    <n v="1949400"/>
    <x v="3"/>
    <n v="1949400"/>
    <n v="1242565.2"/>
    <n v="706834.8"/>
    <n v="36.26"/>
    <x v="0"/>
  </r>
  <r>
    <n v="1524"/>
    <s v="07-Jun-2024"/>
    <x v="11"/>
    <x v="3"/>
    <x v="1"/>
    <x v="4"/>
    <s v="Dumbbells"/>
    <n v="26"/>
    <n v="1886"/>
    <n v="49036"/>
    <x v="3"/>
    <n v="49036"/>
    <n v="33947.72"/>
    <n v="15088.28"/>
    <n v="30.77"/>
    <x v="0"/>
  </r>
  <r>
    <n v="1947"/>
    <s v="27-Oct-2024"/>
    <x v="3"/>
    <x v="2"/>
    <x v="0"/>
    <x v="4"/>
    <s v="Football"/>
    <n v="130"/>
    <n v="602"/>
    <n v="78260"/>
    <x v="0"/>
    <n v="74347"/>
    <n v="45544.97"/>
    <n v="28802.03"/>
    <n v="38.74"/>
    <x v="7"/>
  </r>
  <r>
    <n v="2042"/>
    <s v="03-Nov-2024"/>
    <x v="10"/>
    <x v="2"/>
    <x v="0"/>
    <x v="0"/>
    <s v="Beverages"/>
    <n v="50"/>
    <n v="81"/>
    <n v="4050"/>
    <x v="4"/>
    <n v="3645"/>
    <n v="2464"/>
    <n v="1181"/>
    <n v="32.4"/>
    <x v="7"/>
  </r>
  <r>
    <n v="1945"/>
    <s v="27-Oct-2024"/>
    <x v="3"/>
    <x v="2"/>
    <x v="0"/>
    <x v="0"/>
    <s v="Condiments"/>
    <n v="153"/>
    <n v="97"/>
    <n v="14841"/>
    <x v="3"/>
    <n v="14841"/>
    <n v="10264.34"/>
    <n v="4576.66"/>
    <n v="30.84"/>
    <x v="6"/>
  </r>
  <r>
    <n v="2027"/>
    <s v="03-Nov-2024"/>
    <x v="10"/>
    <x v="2"/>
    <x v="0"/>
    <x v="1"/>
    <s v="Smartphone"/>
    <n v="163"/>
    <n v="8052"/>
    <n v="1312476"/>
    <x v="1"/>
    <n v="1115604.6000000001"/>
    <n v="712403.22"/>
    <n v="403201.38"/>
    <n v="36.14"/>
    <x v="5"/>
  </r>
  <r>
    <n v="1143"/>
    <s v="13-Feb-2024"/>
    <x v="1"/>
    <x v="1"/>
    <x v="0"/>
    <x v="0"/>
    <s v="Dairy Products"/>
    <n v="93"/>
    <n v="122"/>
    <n v="11346"/>
    <x v="3"/>
    <n v="11346"/>
    <n v="6395.73"/>
    <n v="4950.2700000000004"/>
    <n v="43.63"/>
    <x v="4"/>
  </r>
  <r>
    <n v="1064"/>
    <s v="21-Jan-2024"/>
    <x v="8"/>
    <x v="1"/>
    <x v="2"/>
    <x v="2"/>
    <s v="Bed Frame"/>
    <n v="123"/>
    <n v="10499"/>
    <n v="1291377"/>
    <x v="0"/>
    <n v="1226808.1499999999"/>
    <n v="833850.28"/>
    <n v="392957.87"/>
    <n v="32.03"/>
    <x v="7"/>
  </r>
  <r>
    <n v="1461"/>
    <s v="26-May-2024"/>
    <x v="6"/>
    <x v="3"/>
    <x v="2"/>
    <x v="2"/>
    <s v="Sofa"/>
    <n v="102"/>
    <n v="18522"/>
    <n v="1889244"/>
    <x v="1"/>
    <n v="1605857.4"/>
    <n v="1116105.69"/>
    <n v="489751.71"/>
    <n v="30.5"/>
    <x v="3"/>
  </r>
  <r>
    <n v="1232"/>
    <s v="08-Mar-2024"/>
    <x v="5"/>
    <x v="1"/>
    <x v="0"/>
    <x v="3"/>
    <s v="Jeans"/>
    <n v="17"/>
    <n v="1152"/>
    <n v="19584"/>
    <x v="0"/>
    <n v="18604.8"/>
    <n v="12374.1"/>
    <n v="6230.7"/>
    <n v="33.49"/>
    <x v="6"/>
  </r>
  <r>
    <n v="2083"/>
    <s v="03-Nov-2024"/>
    <x v="10"/>
    <x v="2"/>
    <x v="3"/>
    <x v="3"/>
    <s v="Jackets"/>
    <n v="194"/>
    <n v="2086"/>
    <n v="404684"/>
    <x v="3"/>
    <n v="404684"/>
    <n v="224692.35"/>
    <n v="179991.65"/>
    <n v="44.48"/>
    <x v="1"/>
  </r>
  <r>
    <n v="1998"/>
    <s v="27-Oct-2024"/>
    <x v="3"/>
    <x v="2"/>
    <x v="3"/>
    <x v="4"/>
    <s v="Yoga Mat"/>
    <n v="163"/>
    <n v="806"/>
    <n v="131378"/>
    <x v="4"/>
    <n v="118240.2"/>
    <n v="73234.490000000005"/>
    <n v="45005.71"/>
    <n v="38.06"/>
    <x v="0"/>
  </r>
  <r>
    <n v="1510"/>
    <s v="07-Jun-2024"/>
    <x v="11"/>
    <x v="3"/>
    <x v="1"/>
    <x v="3"/>
    <s v="Shoes"/>
    <n v="133"/>
    <n v="1792"/>
    <n v="238336"/>
    <x v="0"/>
    <n v="226419.20000000001"/>
    <n v="137540.72"/>
    <n v="88878.48"/>
    <n v="39.25"/>
    <x v="1"/>
  </r>
  <r>
    <n v="1334"/>
    <s v="08-Apr-2024"/>
    <x v="7"/>
    <x v="3"/>
    <x v="0"/>
    <x v="3"/>
    <s v="Dresses"/>
    <n v="108"/>
    <n v="1579"/>
    <n v="170532"/>
    <x v="4"/>
    <n v="153478.79999999999"/>
    <n v="85454.9"/>
    <n v="68023.899999999994"/>
    <n v="44.32"/>
    <x v="4"/>
  </r>
  <r>
    <n v="1994"/>
    <s v="27-Oct-2024"/>
    <x v="3"/>
    <x v="2"/>
    <x v="3"/>
    <x v="0"/>
    <s v="Frozen Foods"/>
    <n v="131"/>
    <n v="143"/>
    <n v="18733"/>
    <x v="3"/>
    <n v="18733"/>
    <n v="11167.98"/>
    <n v="7565.02"/>
    <n v="40.380000000000003"/>
    <x v="3"/>
  </r>
  <r>
    <n v="1691"/>
    <s v="23-Jul-2024"/>
    <x v="0"/>
    <x v="0"/>
    <x v="3"/>
    <x v="0"/>
    <s v="Organic Snacks"/>
    <n v="24"/>
    <n v="217"/>
    <n v="5208"/>
    <x v="2"/>
    <n v="4166.3999999999996"/>
    <n v="2823.91"/>
    <n v="1342.49"/>
    <n v="32.22"/>
    <x v="7"/>
  </r>
  <r>
    <n v="1886"/>
    <s v="26-Sep-2024"/>
    <x v="9"/>
    <x v="0"/>
    <x v="3"/>
    <x v="2"/>
    <s v="Sofa"/>
    <n v="154"/>
    <n v="19039"/>
    <n v="2932006"/>
    <x v="4"/>
    <n v="2638805.4"/>
    <n v="1770186.68"/>
    <n v="868618.72"/>
    <n v="32.92"/>
    <x v="2"/>
  </r>
  <r>
    <n v="1396"/>
    <s v="08-Apr-2024"/>
    <x v="7"/>
    <x v="3"/>
    <x v="3"/>
    <x v="4"/>
    <s v="Cricket Bat"/>
    <n v="38"/>
    <n v="1318"/>
    <n v="50084"/>
    <x v="0"/>
    <n v="47579.8"/>
    <n v="31991.13"/>
    <n v="15588.67"/>
    <n v="32.76"/>
    <x v="3"/>
  </r>
  <r>
    <n v="1639"/>
    <s v="23-Jul-2024"/>
    <x v="0"/>
    <x v="0"/>
    <x v="0"/>
    <x v="2"/>
    <s v="Bed Frame"/>
    <n v="88"/>
    <n v="10354"/>
    <n v="911152"/>
    <x v="1"/>
    <n v="774479.2"/>
    <n v="493864.53"/>
    <n v="280614.67"/>
    <n v="36.229999999999997"/>
    <x v="4"/>
  </r>
  <r>
    <n v="1995"/>
    <s v="27-Oct-2024"/>
    <x v="3"/>
    <x v="2"/>
    <x v="3"/>
    <x v="0"/>
    <s v="Condiments"/>
    <n v="143"/>
    <n v="83"/>
    <n v="11869"/>
    <x v="4"/>
    <n v="10682.1"/>
    <n v="6422.12"/>
    <n v="4259.9799999999996"/>
    <n v="39.880000000000003"/>
    <x v="4"/>
  </r>
  <r>
    <n v="1543"/>
    <s v="07-Jun-2024"/>
    <x v="11"/>
    <x v="3"/>
    <x v="0"/>
    <x v="0"/>
    <s v="Dairy Products"/>
    <n v="65"/>
    <n v="121"/>
    <n v="7865"/>
    <x v="3"/>
    <n v="7865"/>
    <n v="4760.9799999999996"/>
    <n v="3104.02"/>
    <n v="39.47"/>
    <x v="6"/>
  </r>
  <r>
    <n v="1550"/>
    <s v="07-Jun-2024"/>
    <x v="11"/>
    <x v="3"/>
    <x v="0"/>
    <x v="4"/>
    <s v="Cycling Gear"/>
    <n v="83"/>
    <n v="3674"/>
    <n v="304942"/>
    <x v="3"/>
    <n v="304942"/>
    <n v="190837.02"/>
    <n v="114104.98"/>
    <n v="37.42"/>
    <x v="0"/>
  </r>
  <r>
    <n v="1885"/>
    <s v="26-Sep-2024"/>
    <x v="9"/>
    <x v="0"/>
    <x v="3"/>
    <x v="3"/>
    <s v="Shoes"/>
    <n v="116"/>
    <n v="1905"/>
    <n v="220980"/>
    <x v="3"/>
    <n v="220980"/>
    <n v="137709.53"/>
    <n v="83270.47"/>
    <n v="37.68"/>
    <x v="3"/>
  </r>
  <r>
    <n v="1871"/>
    <s v="26-Sep-2024"/>
    <x v="9"/>
    <x v="0"/>
    <x v="2"/>
    <x v="4"/>
    <s v="Cricket Bat"/>
    <n v="71"/>
    <n v="1155"/>
    <n v="82005"/>
    <x v="2"/>
    <n v="65604"/>
    <n v="45902.76"/>
    <n v="19701.240000000002"/>
    <n v="30.03"/>
    <x v="2"/>
  </r>
  <r>
    <n v="1312"/>
    <s v="08-Apr-2024"/>
    <x v="7"/>
    <x v="3"/>
    <x v="1"/>
    <x v="2"/>
    <s v="Dining Table"/>
    <n v="109"/>
    <n v="11007"/>
    <n v="1199763"/>
    <x v="0"/>
    <n v="1139774.8500000001"/>
    <n v="694948.08"/>
    <n v="444826.77"/>
    <n v="39.03"/>
    <x v="2"/>
  </r>
  <r>
    <n v="1938"/>
    <s v="27-Oct-2024"/>
    <x v="3"/>
    <x v="2"/>
    <x v="0"/>
    <x v="2"/>
    <s v="Wardrobe"/>
    <n v="32"/>
    <n v="14449"/>
    <n v="462368"/>
    <x v="4"/>
    <n v="416131.2"/>
    <n v="282820.38"/>
    <n v="133310.82"/>
    <n v="32.04"/>
    <x v="4"/>
  </r>
  <r>
    <n v="1147"/>
    <s v="13-Feb-2024"/>
    <x v="1"/>
    <x v="1"/>
    <x v="0"/>
    <x v="4"/>
    <s v="Football"/>
    <n v="51"/>
    <n v="620"/>
    <n v="31620"/>
    <x v="3"/>
    <n v="31620"/>
    <n v="18955.259999999998"/>
    <n v="12664.74"/>
    <n v="40.049999999999997"/>
    <x v="2"/>
  </r>
  <r>
    <n v="1311"/>
    <s v="08-Apr-2024"/>
    <x v="7"/>
    <x v="3"/>
    <x v="1"/>
    <x v="2"/>
    <s v="Sofa"/>
    <n v="25"/>
    <n v="18194"/>
    <n v="454850"/>
    <x v="4"/>
    <n v="409365"/>
    <n v="253851.69"/>
    <n v="155513.31"/>
    <n v="37.99"/>
    <x v="7"/>
  </r>
  <r>
    <n v="1028"/>
    <s v="21-Jan-2024"/>
    <x v="8"/>
    <x v="1"/>
    <x v="0"/>
    <x v="1"/>
    <s v="Tablet"/>
    <n v="101"/>
    <n v="5447"/>
    <n v="550147"/>
    <x v="3"/>
    <n v="550147"/>
    <n v="362979.37"/>
    <n v="187167.63"/>
    <n v="34.020000000000003"/>
    <x v="1"/>
  </r>
  <r>
    <n v="1990"/>
    <s v="27-Oct-2024"/>
    <x v="3"/>
    <x v="2"/>
    <x v="3"/>
    <x v="2"/>
    <s v="Office Chair"/>
    <n v="105"/>
    <n v="5132"/>
    <n v="538860"/>
    <x v="2"/>
    <n v="431088"/>
    <n v="289345"/>
    <n v="141743"/>
    <n v="32.880000000000003"/>
    <x v="5"/>
  </r>
  <r>
    <n v="1924"/>
    <s v="27-Oct-2024"/>
    <x v="3"/>
    <x v="2"/>
    <x v="1"/>
    <x v="4"/>
    <s v="Dumbbells"/>
    <n v="120"/>
    <n v="1905"/>
    <n v="228600"/>
    <x v="1"/>
    <n v="194310"/>
    <n v="121496.89"/>
    <n v="72813.11"/>
    <n v="37.47"/>
    <x v="7"/>
  </r>
  <r>
    <n v="1950"/>
    <s v="27-Oct-2024"/>
    <x v="3"/>
    <x v="2"/>
    <x v="0"/>
    <x v="4"/>
    <s v="Cycling Gear"/>
    <n v="124"/>
    <n v="3779"/>
    <n v="468596"/>
    <x v="3"/>
    <n v="468596"/>
    <n v="287956.76"/>
    <n v="180639.24"/>
    <n v="38.549999999999997"/>
    <x v="7"/>
  </r>
  <r>
    <n v="2045"/>
    <s v="03-Nov-2024"/>
    <x v="10"/>
    <x v="2"/>
    <x v="0"/>
    <x v="0"/>
    <s v="Condiments"/>
    <n v="41"/>
    <n v="93"/>
    <n v="3813"/>
    <x v="1"/>
    <n v="3241.05"/>
    <n v="2200.75"/>
    <n v="1040.3"/>
    <n v="32.1"/>
    <x v="0"/>
  </r>
  <r>
    <n v="1915"/>
    <s v="27-Oct-2024"/>
    <x v="3"/>
    <x v="2"/>
    <x v="1"/>
    <x v="2"/>
    <s v="Office Chair"/>
    <n v="124"/>
    <n v="5069"/>
    <n v="628556"/>
    <x v="0"/>
    <n v="597128.19999999995"/>
    <n v="394188.15"/>
    <n v="202940.05"/>
    <n v="33.99"/>
    <x v="3"/>
  </r>
  <r>
    <n v="1327"/>
    <s v="08-Apr-2024"/>
    <x v="7"/>
    <x v="3"/>
    <x v="0"/>
    <x v="1"/>
    <s v="Smartphone"/>
    <n v="58"/>
    <n v="7946"/>
    <n v="460868"/>
    <x v="0"/>
    <n v="437824.6"/>
    <n v="270330.15999999997"/>
    <n v="167494.44"/>
    <n v="38.26"/>
    <x v="7"/>
  </r>
  <r>
    <n v="1389"/>
    <s v="08-Apr-2024"/>
    <x v="7"/>
    <x v="3"/>
    <x v="3"/>
    <x v="2"/>
    <s v="Bed Frame"/>
    <n v="104"/>
    <n v="9696"/>
    <n v="1008384"/>
    <x v="3"/>
    <n v="1008384"/>
    <n v="704786.82"/>
    <n v="303597.18"/>
    <n v="30.11"/>
    <x v="0"/>
  </r>
  <r>
    <n v="1943"/>
    <s v="27-Oct-2024"/>
    <x v="3"/>
    <x v="2"/>
    <x v="0"/>
    <x v="0"/>
    <s v="Dairy Products"/>
    <n v="133"/>
    <n v="108"/>
    <n v="14364"/>
    <x v="4"/>
    <n v="12927.6"/>
    <n v="7799.31"/>
    <n v="5128.29"/>
    <n v="39.67"/>
    <x v="6"/>
  </r>
  <r>
    <n v="1428"/>
    <s v="26-May-2024"/>
    <x v="6"/>
    <x v="3"/>
    <x v="0"/>
    <x v="1"/>
    <s v="Tablet"/>
    <n v="84"/>
    <n v="4934"/>
    <n v="414456"/>
    <x v="4"/>
    <n v="373010.4"/>
    <n v="236816.28"/>
    <n v="136194.12"/>
    <n v="36.51"/>
    <x v="1"/>
  </r>
  <r>
    <n v="1013"/>
    <s v="21-Jan-2024"/>
    <x v="8"/>
    <x v="1"/>
    <x v="1"/>
    <x v="2"/>
    <s v="Wardrobe"/>
    <n v="48"/>
    <n v="15191"/>
    <n v="729168"/>
    <x v="0"/>
    <n v="692709.6"/>
    <n v="452126.11"/>
    <n v="240583.49"/>
    <n v="34.729999999999997"/>
    <x v="4"/>
  </r>
  <r>
    <n v="2187"/>
    <s v="15-Dec-2024"/>
    <x v="4"/>
    <x v="2"/>
    <x v="3"/>
    <x v="2"/>
    <s v="Dining Table"/>
    <n v="99"/>
    <n v="10927"/>
    <n v="1081773"/>
    <x v="4"/>
    <n v="973595.7"/>
    <n v="596743.18999999994"/>
    <n v="376852.51"/>
    <n v="38.71"/>
    <x v="3"/>
  </r>
  <r>
    <n v="1685"/>
    <s v="23-Jul-2024"/>
    <x v="0"/>
    <x v="0"/>
    <x v="3"/>
    <x v="3"/>
    <s v="Shoes"/>
    <n v="38"/>
    <n v="1948"/>
    <n v="74024"/>
    <x v="2"/>
    <n v="59219.199999999997"/>
    <n v="39696.980000000003"/>
    <n v="19522.22"/>
    <n v="32.97"/>
    <x v="2"/>
  </r>
  <r>
    <n v="1569"/>
    <s v="07-Jun-2024"/>
    <x v="11"/>
    <x v="3"/>
    <x v="2"/>
    <x v="0"/>
    <s v="Frozen Foods"/>
    <n v="84"/>
    <n v="152"/>
    <n v="12768"/>
    <x v="3"/>
    <n v="12768"/>
    <n v="7190.4"/>
    <n v="5577.6"/>
    <n v="43.68"/>
    <x v="0"/>
  </r>
  <r>
    <n v="1179"/>
    <s v="13-Feb-2024"/>
    <x v="1"/>
    <x v="1"/>
    <x v="3"/>
    <x v="1"/>
    <s v="Headphones"/>
    <n v="126"/>
    <n v="767"/>
    <n v="96642"/>
    <x v="1"/>
    <n v="82145.7"/>
    <n v="48562.239999999998"/>
    <n v="33583.46"/>
    <n v="40.880000000000003"/>
    <x v="4"/>
  </r>
  <r>
    <n v="1805"/>
    <s v="26-Sep-2024"/>
    <x v="9"/>
    <x v="0"/>
    <x v="1"/>
    <x v="1"/>
    <s v="Smart TV"/>
    <n v="131"/>
    <n v="16292"/>
    <n v="2134252"/>
    <x v="1"/>
    <n v="1814114.2"/>
    <n v="1164833.3600000001"/>
    <n v="649280.84"/>
    <n v="35.79"/>
    <x v="6"/>
  </r>
  <r>
    <n v="1682"/>
    <s v="23-Jul-2024"/>
    <x v="0"/>
    <x v="0"/>
    <x v="3"/>
    <x v="3"/>
    <s v="Jeans"/>
    <n v="78"/>
    <n v="1162"/>
    <n v="90636"/>
    <x v="3"/>
    <n v="90636"/>
    <n v="55298.53"/>
    <n v="35337.47"/>
    <n v="38.99"/>
    <x v="2"/>
  </r>
  <r>
    <n v="1401"/>
    <s v="26-May-2024"/>
    <x v="6"/>
    <x v="3"/>
    <x v="1"/>
    <x v="1"/>
    <s v="Laptop"/>
    <n v="101"/>
    <n v="12471"/>
    <n v="1259571"/>
    <x v="1"/>
    <n v="1070635.3500000001"/>
    <n v="612813.09"/>
    <n v="457822.26"/>
    <n v="42.76"/>
    <x v="0"/>
  </r>
  <r>
    <n v="1734"/>
    <s v="23-Aug-2024"/>
    <x v="2"/>
    <x v="0"/>
    <x v="0"/>
    <x v="3"/>
    <s v="Dresses"/>
    <n v="151"/>
    <n v="1555"/>
    <n v="234805"/>
    <x v="4"/>
    <n v="211324.5"/>
    <n v="128317.48"/>
    <n v="83007.02"/>
    <n v="39.28"/>
    <x v="1"/>
  </r>
  <r>
    <n v="1925"/>
    <s v="27-Oct-2024"/>
    <x v="3"/>
    <x v="2"/>
    <x v="1"/>
    <x v="4"/>
    <s v="Cycling Gear"/>
    <n v="157"/>
    <n v="3487"/>
    <n v="547459"/>
    <x v="0"/>
    <n v="520086.05"/>
    <n v="324106.78999999998"/>
    <n v="195979.26"/>
    <n v="37.68"/>
    <x v="5"/>
  </r>
  <r>
    <n v="1519"/>
    <s v="07-Jun-2024"/>
    <x v="11"/>
    <x v="3"/>
    <x v="1"/>
    <x v="0"/>
    <s v="Frozen Foods"/>
    <n v="141"/>
    <n v="144"/>
    <n v="20304"/>
    <x v="3"/>
    <n v="20304"/>
    <n v="13554.35"/>
    <n v="6749.65"/>
    <n v="33.24"/>
    <x v="5"/>
  </r>
  <r>
    <n v="1438"/>
    <s v="26-May-2024"/>
    <x v="6"/>
    <x v="3"/>
    <x v="0"/>
    <x v="2"/>
    <s v="Wardrobe"/>
    <n v="31"/>
    <n v="14332"/>
    <n v="444292"/>
    <x v="0"/>
    <n v="422077.4"/>
    <n v="277290.62"/>
    <n v="144786.78"/>
    <n v="34.299999999999997"/>
    <x v="1"/>
  </r>
  <r>
    <n v="1315"/>
    <s v="08-Apr-2024"/>
    <x v="7"/>
    <x v="3"/>
    <x v="1"/>
    <x v="2"/>
    <s v="Office Chair"/>
    <n v="131"/>
    <n v="4629"/>
    <n v="606399"/>
    <x v="3"/>
    <n v="606399"/>
    <n v="409142.63"/>
    <n v="197256.37"/>
    <n v="32.53"/>
    <x v="7"/>
  </r>
  <r>
    <n v="1293"/>
    <s v="08-Mar-2024"/>
    <x v="5"/>
    <x v="1"/>
    <x v="3"/>
    <x v="0"/>
    <s v="Dairy Products"/>
    <n v="122"/>
    <n v="117"/>
    <n v="14274"/>
    <x v="3"/>
    <n v="14274"/>
    <n v="8913.1200000000008"/>
    <n v="5360.88"/>
    <n v="37.56"/>
    <x v="2"/>
  </r>
  <r>
    <n v="1374"/>
    <s v="08-Apr-2024"/>
    <x v="7"/>
    <x v="3"/>
    <x v="2"/>
    <x v="4"/>
    <s v="Dumbbells"/>
    <n v="29"/>
    <n v="1847"/>
    <n v="53563"/>
    <x v="0"/>
    <n v="50884.85"/>
    <n v="29205.74"/>
    <n v="21679.11"/>
    <n v="42.6"/>
    <x v="6"/>
  </r>
  <r>
    <n v="1631"/>
    <s v="23-Jul-2024"/>
    <x v="0"/>
    <x v="0"/>
    <x v="0"/>
    <x v="3"/>
    <s v="T-Shirts"/>
    <n v="118"/>
    <n v="474"/>
    <n v="55932"/>
    <x v="2"/>
    <n v="44745.599999999999"/>
    <n v="28597.21"/>
    <n v="16148.39"/>
    <n v="36.090000000000003"/>
    <x v="7"/>
  </r>
  <r>
    <n v="1858"/>
    <s v="26-Sep-2024"/>
    <x v="9"/>
    <x v="0"/>
    <x v="2"/>
    <x v="3"/>
    <s v="Jackets"/>
    <n v="152"/>
    <n v="1993"/>
    <n v="302936"/>
    <x v="0"/>
    <n v="287789.2"/>
    <n v="193021.99"/>
    <n v="94767.21"/>
    <n v="32.93"/>
    <x v="2"/>
  </r>
  <r>
    <n v="1304"/>
    <s v="08-Apr-2024"/>
    <x v="7"/>
    <x v="3"/>
    <x v="1"/>
    <x v="1"/>
    <s v="Headphones"/>
    <n v="57"/>
    <n v="738"/>
    <n v="42066"/>
    <x v="3"/>
    <n v="42066"/>
    <n v="26285.22"/>
    <n v="15780.78"/>
    <n v="37.51"/>
    <x v="0"/>
  </r>
  <r>
    <n v="2136"/>
    <s v="15-Dec-2024"/>
    <x v="4"/>
    <x v="2"/>
    <x v="0"/>
    <x v="2"/>
    <s v="Sofa"/>
    <n v="58"/>
    <n v="17853"/>
    <n v="1035474"/>
    <x v="3"/>
    <n v="1035474"/>
    <n v="721169.45"/>
    <n v="314304.55"/>
    <n v="30.35"/>
    <x v="2"/>
  </r>
  <r>
    <n v="2147"/>
    <s v="15-Dec-2024"/>
    <x v="4"/>
    <x v="2"/>
    <x v="0"/>
    <x v="4"/>
    <s v="Football"/>
    <n v="112"/>
    <n v="600"/>
    <n v="67200"/>
    <x v="3"/>
    <n v="67200"/>
    <n v="41699.25"/>
    <n v="25500.75"/>
    <n v="37.950000000000003"/>
    <x v="6"/>
  </r>
  <r>
    <n v="2084"/>
    <s v="03-Nov-2024"/>
    <x v="10"/>
    <x v="2"/>
    <x v="3"/>
    <x v="3"/>
    <s v="Dresses"/>
    <n v="131"/>
    <n v="1425"/>
    <n v="186675"/>
    <x v="2"/>
    <n v="149340"/>
    <n v="82557.350000000006"/>
    <n v="66782.649999999994"/>
    <n v="44.72"/>
    <x v="2"/>
  </r>
  <r>
    <n v="1861"/>
    <s v="26-Sep-2024"/>
    <x v="9"/>
    <x v="0"/>
    <x v="2"/>
    <x v="2"/>
    <s v="Sofa"/>
    <n v="98"/>
    <n v="18676"/>
    <n v="1830248"/>
    <x v="2"/>
    <n v="1464198.4"/>
    <n v="1013289.17"/>
    <n v="450909.23"/>
    <n v="30.8"/>
    <x v="2"/>
  </r>
  <r>
    <n v="2016"/>
    <s v="03-Nov-2024"/>
    <x v="10"/>
    <x v="2"/>
    <x v="1"/>
    <x v="0"/>
    <s v="Organic Snacks"/>
    <n v="45"/>
    <n v="205"/>
    <n v="9225"/>
    <x v="4"/>
    <n v="8302.5"/>
    <n v="5239.6000000000004"/>
    <n v="3062.9"/>
    <n v="36.89"/>
    <x v="4"/>
  </r>
  <r>
    <n v="1749"/>
    <s v="23-Aug-2024"/>
    <x v="2"/>
    <x v="0"/>
    <x v="0"/>
    <x v="4"/>
    <s v="Dumbbells"/>
    <n v="96"/>
    <n v="2022"/>
    <n v="194112"/>
    <x v="3"/>
    <n v="194112"/>
    <n v="107977.9"/>
    <n v="86134.1"/>
    <n v="44.37"/>
    <x v="0"/>
  </r>
  <r>
    <n v="1624"/>
    <s v="23-Jul-2024"/>
    <x v="0"/>
    <x v="0"/>
    <x v="1"/>
    <x v="4"/>
    <s v="Dumbbells"/>
    <n v="166"/>
    <n v="2074"/>
    <n v="344284"/>
    <x v="0"/>
    <n v="327069.8"/>
    <n v="186481.41"/>
    <n v="140588.39000000001"/>
    <n v="42.98"/>
    <x v="2"/>
  </r>
  <r>
    <n v="1352"/>
    <s v="08-Apr-2024"/>
    <x v="7"/>
    <x v="3"/>
    <x v="2"/>
    <x v="1"/>
    <s v="Smartphone"/>
    <n v="51"/>
    <n v="8757"/>
    <n v="446607"/>
    <x v="0"/>
    <n v="424276.65"/>
    <n v="282430.84000000003"/>
    <n v="141845.81"/>
    <n v="33.43"/>
    <x v="5"/>
  </r>
  <r>
    <n v="1967"/>
    <s v="27-Oct-2024"/>
    <x v="3"/>
    <x v="2"/>
    <x v="2"/>
    <x v="0"/>
    <s v="Beverages"/>
    <n v="101"/>
    <n v="82"/>
    <n v="8282"/>
    <x v="3"/>
    <n v="8282"/>
    <n v="5452.84"/>
    <n v="2829.16"/>
    <n v="34.159999999999997"/>
    <x v="1"/>
  </r>
  <r>
    <n v="1031"/>
    <s v="21-Jan-2024"/>
    <x v="8"/>
    <x v="1"/>
    <x v="0"/>
    <x v="3"/>
    <s v="T-Shirts"/>
    <n v="85"/>
    <n v="490"/>
    <n v="41650"/>
    <x v="4"/>
    <n v="37485"/>
    <n v="23080.080000000002"/>
    <n v="14404.92"/>
    <n v="38.43"/>
    <x v="2"/>
  </r>
  <r>
    <n v="1916"/>
    <s v="27-Oct-2024"/>
    <x v="3"/>
    <x v="2"/>
    <x v="1"/>
    <x v="0"/>
    <s v="Organic Snacks"/>
    <n v="162"/>
    <n v="187"/>
    <n v="30294"/>
    <x v="3"/>
    <n v="30294"/>
    <n v="19366.490000000002"/>
    <n v="10927.51"/>
    <n v="36.07"/>
    <x v="6"/>
  </r>
  <r>
    <n v="1412"/>
    <s v="26-May-2024"/>
    <x v="6"/>
    <x v="3"/>
    <x v="1"/>
    <x v="2"/>
    <s v="Dining Table"/>
    <n v="93"/>
    <n v="12727"/>
    <n v="1183611"/>
    <x v="2"/>
    <n v="946888.8"/>
    <n v="628965.53"/>
    <n v="317923.27"/>
    <n v="33.58"/>
    <x v="3"/>
  </r>
  <r>
    <n v="1001"/>
    <s v="21-Jan-2024"/>
    <x v="8"/>
    <x v="1"/>
    <x v="1"/>
    <x v="1"/>
    <s v="Laptop"/>
    <n v="30"/>
    <n v="12580"/>
    <n v="377400"/>
    <x v="0"/>
    <n v="358530"/>
    <n v="209195.66"/>
    <n v="149334.34"/>
    <n v="41.65"/>
    <x v="1"/>
  </r>
  <r>
    <n v="1744"/>
    <s v="23-Aug-2024"/>
    <x v="2"/>
    <x v="0"/>
    <x v="0"/>
    <x v="0"/>
    <s v="Frozen Foods"/>
    <n v="123"/>
    <n v="153"/>
    <n v="18819"/>
    <x v="3"/>
    <n v="18819"/>
    <n v="11360.18"/>
    <n v="7458.82"/>
    <n v="39.630000000000003"/>
    <x v="1"/>
  </r>
  <r>
    <n v="1279"/>
    <s v="08-Mar-2024"/>
    <x v="5"/>
    <x v="1"/>
    <x v="3"/>
    <x v="1"/>
    <s v="Headphones"/>
    <n v="25"/>
    <n v="854"/>
    <n v="21350"/>
    <x v="2"/>
    <n v="17080"/>
    <n v="10922.85"/>
    <n v="6157.15"/>
    <n v="36.049999999999997"/>
    <x v="4"/>
  </r>
  <r>
    <n v="2069"/>
    <s v="03-Nov-2024"/>
    <x v="10"/>
    <x v="2"/>
    <x v="2"/>
    <x v="0"/>
    <s v="Frozen Foods"/>
    <n v="212"/>
    <n v="148"/>
    <n v="31376"/>
    <x v="0"/>
    <n v="29807.200000000001"/>
    <n v="17891.63"/>
    <n v="11915.57"/>
    <n v="39.979999999999997"/>
    <x v="6"/>
  </r>
  <r>
    <n v="1678"/>
    <s v="23-Jul-2024"/>
    <x v="0"/>
    <x v="0"/>
    <x v="3"/>
    <x v="1"/>
    <s v="Tablet"/>
    <n v="62"/>
    <n v="4550"/>
    <n v="282100"/>
    <x v="3"/>
    <n v="282100"/>
    <n v="192144.25"/>
    <n v="89955.75"/>
    <n v="31.89"/>
    <x v="6"/>
  </r>
  <r>
    <n v="1582"/>
    <s v="07-Jun-2024"/>
    <x v="11"/>
    <x v="3"/>
    <x v="3"/>
    <x v="3"/>
    <s v="Jeans"/>
    <n v="124"/>
    <n v="1301"/>
    <n v="161324"/>
    <x v="4"/>
    <n v="145191.6"/>
    <n v="81152.429999999993"/>
    <n v="64039.17"/>
    <n v="44.11"/>
    <x v="7"/>
  </r>
  <r>
    <n v="1402"/>
    <s v="26-May-2024"/>
    <x v="6"/>
    <x v="3"/>
    <x v="1"/>
    <x v="1"/>
    <s v="Smartphone"/>
    <n v="50"/>
    <n v="8061"/>
    <n v="403050"/>
    <x v="0"/>
    <n v="382897.5"/>
    <n v="259375.2"/>
    <n v="123522.3"/>
    <n v="32.26"/>
    <x v="6"/>
  </r>
  <r>
    <n v="1531"/>
    <s v="07-Jun-2024"/>
    <x v="11"/>
    <x v="3"/>
    <x v="0"/>
    <x v="3"/>
    <s v="T-Shirts"/>
    <n v="37"/>
    <n v="521"/>
    <n v="19277"/>
    <x v="3"/>
    <n v="19277"/>
    <n v="11076.08"/>
    <n v="8200.92"/>
    <n v="42.54"/>
    <x v="3"/>
  </r>
  <r>
    <n v="1926"/>
    <s v="27-Oct-2024"/>
    <x v="3"/>
    <x v="2"/>
    <x v="0"/>
    <x v="1"/>
    <s v="Laptop"/>
    <n v="105"/>
    <n v="13193"/>
    <n v="1385265"/>
    <x v="0"/>
    <n v="1316001.75"/>
    <n v="771634.03"/>
    <n v="544367.72"/>
    <n v="41.37"/>
    <x v="6"/>
  </r>
  <r>
    <n v="1656"/>
    <s v="23-Jul-2024"/>
    <x v="0"/>
    <x v="0"/>
    <x v="2"/>
    <x v="3"/>
    <s v="T-Shirts"/>
    <n v="24"/>
    <n v="477"/>
    <n v="11448"/>
    <x v="3"/>
    <n v="11448"/>
    <n v="7285.99"/>
    <n v="4162.01"/>
    <n v="36.36"/>
    <x v="7"/>
  </r>
  <r>
    <n v="2004"/>
    <s v="03-Nov-2024"/>
    <x v="10"/>
    <x v="2"/>
    <x v="1"/>
    <x v="1"/>
    <s v="Headphones"/>
    <n v="113"/>
    <n v="800"/>
    <n v="90400"/>
    <x v="0"/>
    <n v="85880"/>
    <n v="52020.74"/>
    <n v="33859.26"/>
    <n v="39.43"/>
    <x v="6"/>
  </r>
  <r>
    <n v="1034"/>
    <s v="21-Jan-2024"/>
    <x v="8"/>
    <x v="1"/>
    <x v="0"/>
    <x v="3"/>
    <s v="Dresses"/>
    <n v="100"/>
    <n v="1371"/>
    <n v="137100"/>
    <x v="0"/>
    <n v="130245"/>
    <n v="77075.289999999994"/>
    <n v="53169.71"/>
    <n v="40.82"/>
    <x v="2"/>
  </r>
  <r>
    <n v="1048"/>
    <s v="21-Jan-2024"/>
    <x v="8"/>
    <x v="1"/>
    <x v="0"/>
    <x v="4"/>
    <s v="Yoga Mat"/>
    <n v="72"/>
    <n v="726"/>
    <n v="52272"/>
    <x v="3"/>
    <n v="52272"/>
    <n v="32036.66"/>
    <n v="20235.34"/>
    <n v="38.71"/>
    <x v="3"/>
  </r>
  <r>
    <n v="1648"/>
    <s v="23-Jul-2024"/>
    <x v="0"/>
    <x v="0"/>
    <x v="0"/>
    <x v="4"/>
    <s v="Yoga Mat"/>
    <n v="40"/>
    <n v="761"/>
    <n v="30440"/>
    <x v="3"/>
    <n v="30440"/>
    <n v="21065.65"/>
    <n v="9374.35"/>
    <n v="30.8"/>
    <x v="3"/>
  </r>
  <r>
    <n v="1914"/>
    <s v="27-Oct-2024"/>
    <x v="3"/>
    <x v="2"/>
    <x v="1"/>
    <x v="2"/>
    <s v="Bed Frame"/>
    <n v="179"/>
    <n v="9500"/>
    <n v="1700500"/>
    <x v="0"/>
    <n v="1615475"/>
    <n v="1085051.77"/>
    <n v="530423.23"/>
    <n v="32.83"/>
    <x v="1"/>
  </r>
  <r>
    <n v="1537"/>
    <s v="07-Jun-2024"/>
    <x v="11"/>
    <x v="3"/>
    <x v="0"/>
    <x v="2"/>
    <s v="Dining Table"/>
    <n v="51"/>
    <n v="12021"/>
    <n v="613071"/>
    <x v="3"/>
    <n v="613071"/>
    <n v="416154.65"/>
    <n v="196916.35"/>
    <n v="32.119999999999997"/>
    <x v="4"/>
  </r>
  <r>
    <n v="1606"/>
    <s v="23-Jul-2024"/>
    <x v="0"/>
    <x v="0"/>
    <x v="1"/>
    <x v="3"/>
    <s v="T-Shirts"/>
    <n v="40"/>
    <n v="504"/>
    <n v="20160"/>
    <x v="3"/>
    <n v="20160"/>
    <n v="12209.97"/>
    <n v="7950.03"/>
    <n v="39.43"/>
    <x v="0"/>
  </r>
  <r>
    <n v="1558"/>
    <s v="07-Jun-2024"/>
    <x v="11"/>
    <x v="3"/>
    <x v="2"/>
    <x v="3"/>
    <s v="Jackets"/>
    <n v="45"/>
    <n v="2084"/>
    <n v="93780"/>
    <x v="4"/>
    <n v="84402"/>
    <n v="51437.67"/>
    <n v="32964.33"/>
    <n v="39.06"/>
    <x v="4"/>
  </r>
  <r>
    <n v="1141"/>
    <s v="13-Feb-2024"/>
    <x v="1"/>
    <x v="1"/>
    <x v="0"/>
    <x v="0"/>
    <s v="Organic Snacks"/>
    <n v="62"/>
    <n v="199"/>
    <n v="12338"/>
    <x v="0"/>
    <n v="11721.1"/>
    <n v="7676.85"/>
    <n v="4044.25"/>
    <n v="34.5"/>
    <x v="6"/>
  </r>
  <r>
    <n v="1629"/>
    <s v="23-Jul-2024"/>
    <x v="0"/>
    <x v="0"/>
    <x v="0"/>
    <x v="1"/>
    <s v="Headphones"/>
    <n v="140"/>
    <n v="760"/>
    <n v="106400"/>
    <x v="2"/>
    <n v="85120"/>
    <n v="47461.54"/>
    <n v="37658.46"/>
    <n v="44.24"/>
    <x v="3"/>
  </r>
  <r>
    <n v="1356"/>
    <s v="08-Apr-2024"/>
    <x v="7"/>
    <x v="3"/>
    <x v="2"/>
    <x v="3"/>
    <s v="T-Shirts"/>
    <n v="151"/>
    <n v="458"/>
    <n v="69158"/>
    <x v="2"/>
    <n v="55326.400000000001"/>
    <n v="35873.410000000003"/>
    <n v="19452.990000000002"/>
    <n v="35.159999999999997"/>
    <x v="2"/>
  </r>
  <r>
    <n v="2122"/>
    <s v="15-Dec-2024"/>
    <x v="4"/>
    <x v="2"/>
    <x v="1"/>
    <x v="4"/>
    <s v="Football"/>
    <n v="224"/>
    <n v="549"/>
    <n v="122976"/>
    <x v="2"/>
    <n v="98380.800000000003"/>
    <n v="54911.33"/>
    <n v="43469.47"/>
    <n v="44.18"/>
    <x v="0"/>
  </r>
  <r>
    <n v="1022"/>
    <s v="21-Jan-2024"/>
    <x v="8"/>
    <x v="1"/>
    <x v="1"/>
    <x v="4"/>
    <s v="Football"/>
    <n v="95"/>
    <n v="554"/>
    <n v="52630"/>
    <x v="0"/>
    <n v="49998.5"/>
    <n v="33263.49"/>
    <n v="16735.009999999998"/>
    <n v="33.47"/>
    <x v="3"/>
  </r>
  <r>
    <n v="1206"/>
    <s v="08-Mar-2024"/>
    <x v="5"/>
    <x v="1"/>
    <x v="1"/>
    <x v="3"/>
    <s v="T-Shirts"/>
    <n v="42"/>
    <n v="455"/>
    <n v="19110"/>
    <x v="1"/>
    <n v="16243.5"/>
    <n v="10215.75"/>
    <n v="6027.75"/>
    <n v="37.11"/>
    <x v="1"/>
  </r>
  <r>
    <n v="1605"/>
    <s v="23-Jul-2024"/>
    <x v="0"/>
    <x v="0"/>
    <x v="1"/>
    <x v="1"/>
    <s v="Smart TV"/>
    <n v="76"/>
    <n v="14692"/>
    <n v="1116592"/>
    <x v="2"/>
    <n v="893273.59999999998"/>
    <n v="611206.04"/>
    <n v="282067.56"/>
    <n v="31.58"/>
    <x v="6"/>
  </r>
  <r>
    <n v="1089"/>
    <s v="21-Jan-2024"/>
    <x v="8"/>
    <x v="1"/>
    <x v="3"/>
    <x v="2"/>
    <s v="Bed Frame"/>
    <n v="109"/>
    <n v="10487"/>
    <n v="1143083"/>
    <x v="2"/>
    <n v="914466.4"/>
    <n v="564692.56999999995"/>
    <n v="349773.83"/>
    <n v="38.25"/>
    <x v="5"/>
  </r>
  <r>
    <n v="1362"/>
    <s v="08-Apr-2024"/>
    <x v="7"/>
    <x v="3"/>
    <x v="2"/>
    <x v="2"/>
    <s v="Dining Table"/>
    <n v="124"/>
    <n v="11489"/>
    <n v="1424636"/>
    <x v="0"/>
    <n v="1353404.2"/>
    <n v="875496.45"/>
    <n v="477907.75"/>
    <n v="35.31"/>
    <x v="1"/>
  </r>
  <r>
    <n v="1239"/>
    <s v="08-Mar-2024"/>
    <x v="5"/>
    <x v="1"/>
    <x v="0"/>
    <x v="2"/>
    <s v="Bed Frame"/>
    <n v="44"/>
    <n v="10178"/>
    <n v="447832"/>
    <x v="3"/>
    <n v="447832"/>
    <n v="272893.15000000002"/>
    <n v="174938.85"/>
    <n v="39.06"/>
    <x v="6"/>
  </r>
  <r>
    <n v="1080"/>
    <s v="21-Jan-2024"/>
    <x v="8"/>
    <x v="1"/>
    <x v="3"/>
    <x v="1"/>
    <s v="Smart TV"/>
    <n v="86"/>
    <n v="15034"/>
    <n v="1292924"/>
    <x v="3"/>
    <n v="1292924"/>
    <n v="838884.79"/>
    <n v="454039.21"/>
    <n v="35.119999999999997"/>
    <x v="6"/>
  </r>
  <r>
    <n v="1630"/>
    <s v="23-Jul-2024"/>
    <x v="0"/>
    <x v="0"/>
    <x v="0"/>
    <x v="1"/>
    <s v="Smart TV"/>
    <n v="121"/>
    <n v="14322"/>
    <n v="1732962"/>
    <x v="2"/>
    <n v="1386369.6"/>
    <n v="867547.06"/>
    <n v="518822.54"/>
    <n v="37.42"/>
    <x v="1"/>
  </r>
  <r>
    <n v="2096"/>
    <s v="03-Nov-2024"/>
    <x v="10"/>
    <x v="2"/>
    <x v="3"/>
    <x v="4"/>
    <s v="Cricket Bat"/>
    <n v="203"/>
    <n v="1084"/>
    <n v="220052"/>
    <x v="4"/>
    <n v="198046.8"/>
    <n v="110590.95"/>
    <n v="87455.85"/>
    <n v="44.16"/>
    <x v="4"/>
  </r>
  <r>
    <n v="1921"/>
    <s v="27-Oct-2024"/>
    <x v="3"/>
    <x v="2"/>
    <x v="1"/>
    <x v="4"/>
    <s v="Cricket Bat"/>
    <n v="82"/>
    <n v="1247"/>
    <n v="102254"/>
    <x v="3"/>
    <n v="102254"/>
    <n v="57014.58"/>
    <n v="45239.42"/>
    <n v="44.24"/>
    <x v="0"/>
  </r>
  <r>
    <n v="2170"/>
    <s v="15-Dec-2024"/>
    <x v="4"/>
    <x v="2"/>
    <x v="2"/>
    <x v="0"/>
    <s v="Condiments"/>
    <n v="71"/>
    <n v="87"/>
    <n v="6177"/>
    <x v="3"/>
    <n v="6177"/>
    <n v="4239.07"/>
    <n v="1937.93"/>
    <n v="31.37"/>
    <x v="3"/>
  </r>
  <r>
    <n v="1139"/>
    <s v="13-Feb-2024"/>
    <x v="1"/>
    <x v="1"/>
    <x v="0"/>
    <x v="2"/>
    <s v="Bed Frame"/>
    <n v="60"/>
    <n v="10089"/>
    <n v="605340"/>
    <x v="3"/>
    <n v="605340"/>
    <n v="415421.67"/>
    <n v="189918.33"/>
    <n v="31.37"/>
    <x v="7"/>
  </r>
  <r>
    <n v="2137"/>
    <s v="15-Dec-2024"/>
    <x v="4"/>
    <x v="2"/>
    <x v="0"/>
    <x v="2"/>
    <s v="Dining Table"/>
    <n v="171"/>
    <n v="12898"/>
    <n v="2205558"/>
    <x v="1"/>
    <n v="1874724.3"/>
    <n v="1083106.71"/>
    <n v="791617.59"/>
    <n v="42.23"/>
    <x v="3"/>
  </r>
  <r>
    <n v="1953"/>
    <s v="27-Oct-2024"/>
    <x v="3"/>
    <x v="2"/>
    <x v="2"/>
    <x v="1"/>
    <s v="Tablet"/>
    <n v="169"/>
    <n v="4914"/>
    <n v="830466"/>
    <x v="1"/>
    <n v="705896.1"/>
    <n v="420362.69"/>
    <n v="285533.40999999997"/>
    <n v="40.450000000000003"/>
    <x v="6"/>
  </r>
  <r>
    <n v="1100"/>
    <s v="21-Jan-2024"/>
    <x v="8"/>
    <x v="1"/>
    <x v="3"/>
    <x v="4"/>
    <s v="Cycling Gear"/>
    <n v="24"/>
    <n v="3450"/>
    <n v="82800"/>
    <x v="2"/>
    <n v="66240"/>
    <n v="38237.660000000003"/>
    <n v="28002.34"/>
    <n v="42.27"/>
    <x v="6"/>
  </r>
  <r>
    <n v="2200"/>
    <s v="15-Dec-2024"/>
    <x v="4"/>
    <x v="2"/>
    <x v="3"/>
    <x v="4"/>
    <s v="Cycling Gear"/>
    <n v="177"/>
    <n v="3180"/>
    <n v="562860"/>
    <x v="3"/>
    <n v="562860"/>
    <n v="312341.65999999997"/>
    <n v="250518.34"/>
    <n v="44.51"/>
    <x v="4"/>
  </r>
  <r>
    <n v="1426"/>
    <s v="26-May-2024"/>
    <x v="6"/>
    <x v="3"/>
    <x v="0"/>
    <x v="1"/>
    <s v="Laptop"/>
    <n v="104"/>
    <n v="12860"/>
    <n v="1337440"/>
    <x v="3"/>
    <n v="1337440"/>
    <n v="754349.7"/>
    <n v="583090.30000000005"/>
    <n v="43.6"/>
    <x v="0"/>
  </r>
  <r>
    <n v="1330"/>
    <s v="08-Apr-2024"/>
    <x v="7"/>
    <x v="3"/>
    <x v="0"/>
    <x v="1"/>
    <s v="Smart TV"/>
    <n v="42"/>
    <n v="13978"/>
    <n v="587076"/>
    <x v="2"/>
    <n v="469660.8"/>
    <n v="293450.62"/>
    <n v="176210.18"/>
    <n v="37.520000000000003"/>
    <x v="6"/>
  </r>
  <r>
    <n v="1186"/>
    <s v="13-Feb-2024"/>
    <x v="1"/>
    <x v="1"/>
    <x v="3"/>
    <x v="2"/>
    <s v="Sofa"/>
    <n v="123"/>
    <n v="17263"/>
    <n v="2123349"/>
    <x v="4"/>
    <n v="1911014.1"/>
    <n v="1281592.71"/>
    <n v="629421.39"/>
    <n v="32.94"/>
    <x v="2"/>
  </r>
  <r>
    <n v="1176"/>
    <s v="13-Feb-2024"/>
    <x v="1"/>
    <x v="1"/>
    <x v="3"/>
    <x v="1"/>
    <s v="Laptop"/>
    <n v="25"/>
    <n v="13069"/>
    <n v="326725"/>
    <x v="0"/>
    <n v="310388.75"/>
    <n v="200461.72"/>
    <n v="109927.03"/>
    <n v="35.42"/>
    <x v="0"/>
  </r>
  <r>
    <n v="1759"/>
    <s v="23-Aug-2024"/>
    <x v="2"/>
    <x v="0"/>
    <x v="2"/>
    <x v="3"/>
    <s v="Dresses"/>
    <n v="64"/>
    <n v="1458"/>
    <n v="93312"/>
    <x v="4"/>
    <n v="83980.800000000003"/>
    <n v="57248.27"/>
    <n v="26732.53"/>
    <n v="31.83"/>
    <x v="2"/>
  </r>
  <r>
    <n v="1607"/>
    <s v="23-Jul-2024"/>
    <x v="0"/>
    <x v="0"/>
    <x v="1"/>
    <x v="3"/>
    <s v="Jeans"/>
    <n v="86"/>
    <n v="1187"/>
    <n v="102082"/>
    <x v="0"/>
    <n v="96977.9"/>
    <n v="59734.61"/>
    <n v="37243.29"/>
    <n v="38.4"/>
    <x v="6"/>
  </r>
  <r>
    <n v="1163"/>
    <s v="13-Feb-2024"/>
    <x v="1"/>
    <x v="1"/>
    <x v="2"/>
    <x v="2"/>
    <s v="Wardrobe"/>
    <n v="99"/>
    <n v="14872"/>
    <n v="1472328"/>
    <x v="1"/>
    <n v="1251478.8"/>
    <n v="873860.22"/>
    <n v="377618.58"/>
    <n v="30.17"/>
    <x v="7"/>
  </r>
  <r>
    <n v="1192"/>
    <s v="13-Feb-2024"/>
    <x v="1"/>
    <x v="1"/>
    <x v="3"/>
    <x v="0"/>
    <s v="Beverages"/>
    <n v="88"/>
    <n v="82"/>
    <n v="7216"/>
    <x v="2"/>
    <n v="5772.8"/>
    <n v="3962.5"/>
    <n v="1810.3"/>
    <n v="31.36"/>
    <x v="6"/>
  </r>
  <r>
    <n v="1813"/>
    <s v="26-Sep-2024"/>
    <x v="9"/>
    <x v="0"/>
    <x v="1"/>
    <x v="2"/>
    <s v="Wardrobe"/>
    <n v="62"/>
    <n v="13740"/>
    <n v="851880"/>
    <x v="3"/>
    <n v="851880"/>
    <n v="539916.94999999995"/>
    <n v="311963.05"/>
    <n v="36.619999999999997"/>
    <x v="6"/>
  </r>
  <r>
    <n v="1506"/>
    <s v="07-Jun-2024"/>
    <x v="11"/>
    <x v="3"/>
    <x v="1"/>
    <x v="3"/>
    <s v="T-Shirts"/>
    <n v="63"/>
    <n v="487"/>
    <n v="30681"/>
    <x v="3"/>
    <n v="30681"/>
    <n v="17112.88"/>
    <n v="13568.12"/>
    <n v="44.22"/>
    <x v="6"/>
  </r>
  <r>
    <n v="1534"/>
    <s v="07-Jun-2024"/>
    <x v="11"/>
    <x v="3"/>
    <x v="0"/>
    <x v="3"/>
    <s v="Dresses"/>
    <n v="66"/>
    <n v="1479"/>
    <n v="97614"/>
    <x v="3"/>
    <n v="97614"/>
    <n v="57537.84"/>
    <n v="40076.160000000003"/>
    <n v="41.06"/>
    <x v="1"/>
  </r>
  <r>
    <n v="1459"/>
    <s v="26-May-2024"/>
    <x v="6"/>
    <x v="3"/>
    <x v="2"/>
    <x v="3"/>
    <s v="Dresses"/>
    <n v="99"/>
    <n v="1587"/>
    <n v="157113"/>
    <x v="4"/>
    <n v="141401.70000000001"/>
    <n v="92652.78"/>
    <n v="48748.92"/>
    <n v="34.479999999999997"/>
    <x v="1"/>
  </r>
  <r>
    <n v="1801"/>
    <s v="26-Sep-2024"/>
    <x v="9"/>
    <x v="0"/>
    <x v="1"/>
    <x v="1"/>
    <s v="Laptop"/>
    <n v="128"/>
    <n v="11188"/>
    <n v="1432064"/>
    <x v="0"/>
    <n v="1360460.8"/>
    <n v="851990.66"/>
    <n v="508470.14"/>
    <n v="37.369999999999997"/>
    <x v="3"/>
  </r>
  <r>
    <n v="2186"/>
    <s v="15-Dec-2024"/>
    <x v="4"/>
    <x v="2"/>
    <x v="3"/>
    <x v="2"/>
    <s v="Sofa"/>
    <n v="143"/>
    <n v="16726"/>
    <n v="2391818"/>
    <x v="2"/>
    <n v="1913454.4"/>
    <n v="1304492.93"/>
    <n v="608961.47"/>
    <n v="31.83"/>
    <x v="7"/>
  </r>
  <r>
    <n v="1353"/>
    <s v="08-Apr-2024"/>
    <x v="7"/>
    <x v="3"/>
    <x v="2"/>
    <x v="1"/>
    <s v="Tablet"/>
    <n v="115"/>
    <n v="4989"/>
    <n v="573735"/>
    <x v="2"/>
    <n v="458988"/>
    <n v="276457.87"/>
    <n v="182530.13"/>
    <n v="39.770000000000003"/>
    <x v="6"/>
  </r>
  <r>
    <n v="1072"/>
    <s v="21-Jan-2024"/>
    <x v="8"/>
    <x v="1"/>
    <x v="2"/>
    <x v="4"/>
    <s v="Football"/>
    <n v="54"/>
    <n v="634"/>
    <n v="34236"/>
    <x v="1"/>
    <n v="29100.6"/>
    <n v="18651.490000000002"/>
    <n v="10449.11"/>
    <n v="35.909999999999997"/>
    <x v="1"/>
  </r>
  <r>
    <n v="1190"/>
    <s v="13-Feb-2024"/>
    <x v="1"/>
    <x v="1"/>
    <x v="3"/>
    <x v="2"/>
    <s v="Office Chair"/>
    <n v="81"/>
    <n v="5322"/>
    <n v="431082"/>
    <x v="4"/>
    <n v="387973.8"/>
    <n v="219690.91"/>
    <n v="168282.89"/>
    <n v="43.37"/>
    <x v="5"/>
  </r>
  <r>
    <n v="1420"/>
    <s v="26-May-2024"/>
    <x v="6"/>
    <x v="3"/>
    <x v="1"/>
    <x v="0"/>
    <s v="Condiments"/>
    <n v="24"/>
    <n v="90"/>
    <n v="2160"/>
    <x v="4"/>
    <n v="1944"/>
    <n v="1086.83"/>
    <n v="857.17"/>
    <n v="44.09"/>
    <x v="2"/>
  </r>
  <r>
    <n v="1818"/>
    <s v="26-Sep-2024"/>
    <x v="9"/>
    <x v="0"/>
    <x v="1"/>
    <x v="0"/>
    <s v="Dairy Products"/>
    <n v="124"/>
    <n v="114"/>
    <n v="14136"/>
    <x v="4"/>
    <n v="12722.4"/>
    <n v="7784.38"/>
    <n v="4938.0200000000004"/>
    <n v="38.81"/>
    <x v="3"/>
  </r>
  <r>
    <n v="1594"/>
    <s v="07-Jun-2024"/>
    <x v="11"/>
    <x v="3"/>
    <x v="3"/>
    <x v="0"/>
    <s v="Frozen Foods"/>
    <n v="126"/>
    <n v="164"/>
    <n v="20664"/>
    <x v="1"/>
    <n v="17564.400000000001"/>
    <n v="10959.52"/>
    <n v="6604.88"/>
    <n v="37.6"/>
    <x v="0"/>
  </r>
  <r>
    <n v="1142"/>
    <s v="13-Feb-2024"/>
    <x v="1"/>
    <x v="1"/>
    <x v="0"/>
    <x v="0"/>
    <s v="Beverages"/>
    <n v="68"/>
    <n v="80"/>
    <n v="5440"/>
    <x v="3"/>
    <n v="5440"/>
    <n v="3480"/>
    <n v="1960"/>
    <n v="36.03"/>
    <x v="0"/>
  </r>
  <r>
    <n v="1610"/>
    <s v="23-Jul-2024"/>
    <x v="0"/>
    <x v="0"/>
    <x v="1"/>
    <x v="3"/>
    <s v="Shoes"/>
    <n v="116"/>
    <n v="1923"/>
    <n v="223068"/>
    <x v="1"/>
    <n v="189607.8"/>
    <n v="131747.87"/>
    <n v="57859.93"/>
    <n v="30.52"/>
    <x v="2"/>
  </r>
  <r>
    <n v="1763"/>
    <s v="23-Aug-2024"/>
    <x v="2"/>
    <x v="0"/>
    <x v="2"/>
    <x v="2"/>
    <s v="Wardrobe"/>
    <n v="150"/>
    <n v="14369"/>
    <n v="2155350"/>
    <x v="1"/>
    <n v="1832047.5"/>
    <n v="1219007.8400000001"/>
    <n v="613039.66"/>
    <n v="33.46"/>
    <x v="5"/>
  </r>
  <r>
    <n v="1964"/>
    <s v="27-Oct-2024"/>
    <x v="3"/>
    <x v="2"/>
    <x v="2"/>
    <x v="2"/>
    <s v="Bed Frame"/>
    <n v="110"/>
    <n v="9791"/>
    <n v="1077010"/>
    <x v="3"/>
    <n v="1077010"/>
    <n v="682452.92"/>
    <n v="394557.08"/>
    <n v="36.630000000000003"/>
    <x v="4"/>
  </r>
  <r>
    <n v="1287"/>
    <s v="08-Mar-2024"/>
    <x v="5"/>
    <x v="1"/>
    <x v="3"/>
    <x v="2"/>
    <s v="Dining Table"/>
    <n v="132"/>
    <n v="11948"/>
    <n v="1577136"/>
    <x v="3"/>
    <n v="1577136"/>
    <n v="1059401.1299999999"/>
    <n v="517734.87"/>
    <n v="32.83"/>
    <x v="1"/>
  </r>
  <r>
    <n v="1807"/>
    <s v="26-Sep-2024"/>
    <x v="9"/>
    <x v="0"/>
    <x v="1"/>
    <x v="3"/>
    <s v="Jeans"/>
    <n v="24"/>
    <n v="1284"/>
    <n v="30816"/>
    <x v="0"/>
    <n v="29275.200000000001"/>
    <n v="16956.55"/>
    <n v="12318.65"/>
    <n v="42.08"/>
    <x v="5"/>
  </r>
  <r>
    <n v="1211"/>
    <s v="08-Mar-2024"/>
    <x v="5"/>
    <x v="1"/>
    <x v="1"/>
    <x v="2"/>
    <s v="Sofa"/>
    <n v="98"/>
    <n v="16436"/>
    <n v="1610728"/>
    <x v="0"/>
    <n v="1530191.6"/>
    <n v="984904.19"/>
    <n v="545287.41"/>
    <n v="35.64"/>
    <x v="3"/>
  </r>
  <r>
    <n v="1410"/>
    <s v="26-May-2024"/>
    <x v="6"/>
    <x v="3"/>
    <x v="1"/>
    <x v="3"/>
    <s v="Shoes"/>
    <n v="82"/>
    <n v="1706"/>
    <n v="139892"/>
    <x v="4"/>
    <n v="125902.8"/>
    <n v="83892.45"/>
    <n v="42010.35"/>
    <n v="33.369999999999997"/>
    <x v="0"/>
  </r>
  <r>
    <n v="1709"/>
    <s v="23-Aug-2024"/>
    <x v="2"/>
    <x v="0"/>
    <x v="1"/>
    <x v="3"/>
    <s v="Dresses"/>
    <n v="103"/>
    <n v="1465"/>
    <n v="150895"/>
    <x v="0"/>
    <n v="143350.25"/>
    <n v="84725.64"/>
    <n v="58624.61"/>
    <n v="40.9"/>
    <x v="3"/>
  </r>
  <r>
    <n v="2163"/>
    <s v="15-Dec-2024"/>
    <x v="4"/>
    <x v="2"/>
    <x v="2"/>
    <x v="2"/>
    <s v="Wardrobe"/>
    <n v="221"/>
    <n v="13037"/>
    <n v="2881177"/>
    <x v="4"/>
    <n v="2593059.2999999998"/>
    <n v="1677933.91"/>
    <n v="915125.39"/>
    <n v="35.29"/>
    <x v="6"/>
  </r>
  <r>
    <n v="1837"/>
    <s v="26-Sep-2024"/>
    <x v="9"/>
    <x v="0"/>
    <x v="0"/>
    <x v="2"/>
    <s v="Dining Table"/>
    <n v="121"/>
    <n v="11520"/>
    <n v="1393920"/>
    <x v="3"/>
    <n v="1393920"/>
    <n v="849957.06"/>
    <n v="543962.93999999994"/>
    <n v="39.020000000000003"/>
    <x v="7"/>
  </r>
  <r>
    <n v="1170"/>
    <s v="13-Feb-2024"/>
    <x v="1"/>
    <x v="1"/>
    <x v="2"/>
    <x v="0"/>
    <s v="Condiments"/>
    <n v="68"/>
    <n v="83"/>
    <n v="5644"/>
    <x v="3"/>
    <n v="5644"/>
    <n v="3479.82"/>
    <n v="2164.1799999999998"/>
    <n v="38.340000000000003"/>
    <x v="6"/>
  </r>
  <r>
    <n v="2152"/>
    <s v="15-Dec-2024"/>
    <x v="4"/>
    <x v="2"/>
    <x v="2"/>
    <x v="1"/>
    <s v="Smartphone"/>
    <n v="128"/>
    <n v="7872"/>
    <n v="1007616"/>
    <x v="3"/>
    <n v="1007616"/>
    <n v="598249.35"/>
    <n v="409366.65"/>
    <n v="40.630000000000003"/>
    <x v="1"/>
  </r>
  <r>
    <n v="1101"/>
    <s v="13-Feb-2024"/>
    <x v="1"/>
    <x v="1"/>
    <x v="1"/>
    <x v="1"/>
    <s v="Laptop"/>
    <n v="58"/>
    <n v="11891"/>
    <n v="689678"/>
    <x v="4"/>
    <n v="620710.19999999995"/>
    <n v="412266.07"/>
    <n v="208444.13"/>
    <n v="33.58"/>
    <x v="0"/>
  </r>
  <r>
    <n v="1016"/>
    <s v="21-Jan-2024"/>
    <x v="8"/>
    <x v="1"/>
    <x v="1"/>
    <x v="0"/>
    <s v="Organic Snacks"/>
    <n v="62"/>
    <n v="217"/>
    <n v="13454"/>
    <x v="2"/>
    <n v="10763.2"/>
    <n v="6150.42"/>
    <n v="4612.78"/>
    <n v="42.86"/>
    <x v="7"/>
  </r>
  <r>
    <n v="1112"/>
    <s v="13-Feb-2024"/>
    <x v="1"/>
    <x v="1"/>
    <x v="1"/>
    <x v="2"/>
    <s v="Dining Table"/>
    <n v="20"/>
    <n v="11808"/>
    <n v="236160"/>
    <x v="2"/>
    <n v="188928"/>
    <n v="106901.29"/>
    <n v="82026.710000000006"/>
    <n v="43.42"/>
    <x v="3"/>
  </r>
  <r>
    <n v="1466"/>
    <s v="26-May-2024"/>
    <x v="6"/>
    <x v="3"/>
    <x v="2"/>
    <x v="0"/>
    <s v="Organic Snacks"/>
    <n v="71"/>
    <n v="194"/>
    <n v="13774"/>
    <x v="0"/>
    <n v="13085.3"/>
    <n v="8219.76"/>
    <n v="4865.54"/>
    <n v="37.18"/>
    <x v="3"/>
  </r>
  <r>
    <n v="1973"/>
    <s v="27-Oct-2024"/>
    <x v="3"/>
    <x v="2"/>
    <x v="2"/>
    <x v="4"/>
    <s v="Yoga Mat"/>
    <n v="32"/>
    <n v="747"/>
    <n v="23904"/>
    <x v="4"/>
    <n v="21513.599999999999"/>
    <n v="13657.34"/>
    <n v="7856.26"/>
    <n v="36.520000000000003"/>
    <x v="7"/>
  </r>
  <r>
    <n v="1299"/>
    <s v="08-Mar-2024"/>
    <x v="5"/>
    <x v="1"/>
    <x v="3"/>
    <x v="4"/>
    <s v="Dumbbells"/>
    <n v="60"/>
    <n v="2120"/>
    <n v="127200"/>
    <x v="3"/>
    <n v="127200"/>
    <n v="88139.22"/>
    <n v="39060.78"/>
    <n v="30.71"/>
    <x v="7"/>
  </r>
  <r>
    <n v="2126"/>
    <s v="15-Dec-2024"/>
    <x v="4"/>
    <x v="2"/>
    <x v="0"/>
    <x v="1"/>
    <s v="Laptop"/>
    <n v="186"/>
    <n v="11901"/>
    <n v="2213586"/>
    <x v="3"/>
    <n v="2213586"/>
    <n v="1469933.86"/>
    <n v="743652.14"/>
    <n v="33.590000000000003"/>
    <x v="5"/>
  </r>
  <r>
    <n v="1458"/>
    <s v="26-May-2024"/>
    <x v="6"/>
    <x v="3"/>
    <x v="2"/>
    <x v="3"/>
    <s v="Jackets"/>
    <n v="32"/>
    <n v="2196"/>
    <n v="70272"/>
    <x v="2"/>
    <n v="56217.599999999999"/>
    <n v="35829.53"/>
    <n v="20388.07"/>
    <n v="36.270000000000003"/>
    <x v="0"/>
  </r>
  <r>
    <n v="1018"/>
    <s v="21-Jan-2024"/>
    <x v="8"/>
    <x v="1"/>
    <x v="1"/>
    <x v="0"/>
    <s v="Dairy Products"/>
    <n v="120"/>
    <n v="118"/>
    <n v="14160"/>
    <x v="0"/>
    <n v="13452"/>
    <n v="9411"/>
    <n v="4041"/>
    <n v="30.04"/>
    <x v="7"/>
  </r>
  <r>
    <n v="1911"/>
    <s v="27-Oct-2024"/>
    <x v="3"/>
    <x v="2"/>
    <x v="1"/>
    <x v="2"/>
    <s v="Sofa"/>
    <n v="115"/>
    <n v="19776"/>
    <n v="2274240"/>
    <x v="0"/>
    <n v="2160528"/>
    <n v="1190419.22"/>
    <n v="970108.78"/>
    <n v="44.9"/>
    <x v="5"/>
  </r>
  <r>
    <n v="1215"/>
    <s v="08-Mar-2024"/>
    <x v="5"/>
    <x v="1"/>
    <x v="1"/>
    <x v="2"/>
    <s v="Office Chair"/>
    <n v="60"/>
    <n v="4813"/>
    <n v="288780"/>
    <x v="0"/>
    <n v="274341"/>
    <n v="166290.47"/>
    <n v="108050.53"/>
    <n v="39.39"/>
    <x v="7"/>
  </r>
  <r>
    <n v="1436"/>
    <s v="26-May-2024"/>
    <x v="6"/>
    <x v="3"/>
    <x v="0"/>
    <x v="2"/>
    <s v="Sofa"/>
    <n v="145"/>
    <n v="17375"/>
    <n v="2519375"/>
    <x v="0"/>
    <n v="2393406.25"/>
    <n v="1597675.79"/>
    <n v="795730.46"/>
    <n v="33.25"/>
    <x v="2"/>
  </r>
  <r>
    <n v="2006"/>
    <s v="03-Nov-2024"/>
    <x v="10"/>
    <x v="2"/>
    <x v="1"/>
    <x v="3"/>
    <s v="T-Shirts"/>
    <n v="186"/>
    <n v="541"/>
    <n v="100626"/>
    <x v="2"/>
    <n v="80500.800000000003"/>
    <n v="50385.39"/>
    <n v="30115.41"/>
    <n v="37.409999999999997"/>
    <x v="2"/>
  </r>
  <r>
    <n v="1399"/>
    <s v="08-Apr-2024"/>
    <x v="7"/>
    <x v="3"/>
    <x v="3"/>
    <x v="4"/>
    <s v="Dumbbells"/>
    <n v="92"/>
    <n v="2037"/>
    <n v="187404"/>
    <x v="3"/>
    <n v="187404"/>
    <n v="120669.24"/>
    <n v="66734.759999999995"/>
    <n v="35.61"/>
    <x v="0"/>
  </r>
  <r>
    <n v="1968"/>
    <s v="27-Oct-2024"/>
    <x v="3"/>
    <x v="2"/>
    <x v="2"/>
    <x v="0"/>
    <s v="Dairy Products"/>
    <n v="54"/>
    <n v="122"/>
    <n v="6588"/>
    <x v="3"/>
    <n v="6588"/>
    <n v="4011.83"/>
    <n v="2576.17"/>
    <n v="39.1"/>
    <x v="3"/>
  </r>
  <r>
    <n v="1491"/>
    <s v="26-May-2024"/>
    <x v="6"/>
    <x v="3"/>
    <x v="3"/>
    <x v="0"/>
    <s v="Organic Snacks"/>
    <n v="43"/>
    <n v="186"/>
    <n v="7998"/>
    <x v="0"/>
    <n v="7598.1"/>
    <n v="5106.1499999999996"/>
    <n v="2491.9499999999998"/>
    <n v="32.799999999999997"/>
    <x v="4"/>
  </r>
  <r>
    <n v="1272"/>
    <s v="08-Mar-2024"/>
    <x v="5"/>
    <x v="1"/>
    <x v="2"/>
    <x v="4"/>
    <s v="Football"/>
    <n v="133"/>
    <n v="590"/>
    <n v="78470"/>
    <x v="1"/>
    <n v="66699.5"/>
    <n v="41707.269999999997"/>
    <n v="24992.23"/>
    <n v="37.47"/>
    <x v="5"/>
  </r>
  <r>
    <n v="1840"/>
    <s v="26-Sep-2024"/>
    <x v="9"/>
    <x v="0"/>
    <x v="0"/>
    <x v="2"/>
    <s v="Office Chair"/>
    <n v="64"/>
    <n v="4912"/>
    <n v="314368"/>
    <x v="4"/>
    <n v="282931.20000000001"/>
    <n v="192423.01"/>
    <n v="90508.19"/>
    <n v="31.99"/>
    <x v="5"/>
  </r>
  <r>
    <n v="1118"/>
    <s v="13-Feb-2024"/>
    <x v="1"/>
    <x v="1"/>
    <x v="1"/>
    <x v="0"/>
    <s v="Dairy Products"/>
    <n v="60"/>
    <n v="129"/>
    <n v="7740"/>
    <x v="0"/>
    <n v="7353"/>
    <n v="4657.16"/>
    <n v="2695.84"/>
    <n v="36.659999999999997"/>
    <x v="5"/>
  </r>
  <r>
    <n v="1105"/>
    <s v="13-Feb-2024"/>
    <x v="1"/>
    <x v="1"/>
    <x v="1"/>
    <x v="1"/>
    <s v="Smart TV"/>
    <n v="42"/>
    <n v="13561"/>
    <n v="569562"/>
    <x v="3"/>
    <n v="569562"/>
    <n v="333639.02"/>
    <n v="235922.98"/>
    <n v="41.42"/>
    <x v="2"/>
  </r>
  <r>
    <n v="1106"/>
    <s v="13-Feb-2024"/>
    <x v="1"/>
    <x v="1"/>
    <x v="1"/>
    <x v="3"/>
    <s v="T-Shirts"/>
    <n v="100"/>
    <n v="506"/>
    <n v="50600"/>
    <x v="0"/>
    <n v="48070"/>
    <n v="29791.63"/>
    <n v="18278.37"/>
    <n v="38.020000000000003"/>
    <x v="6"/>
  </r>
  <r>
    <n v="1927"/>
    <s v="27-Oct-2024"/>
    <x v="3"/>
    <x v="2"/>
    <x v="0"/>
    <x v="1"/>
    <s v="Smartphone"/>
    <n v="137"/>
    <n v="7717"/>
    <n v="1057229"/>
    <x v="3"/>
    <n v="1057229"/>
    <n v="599321.43000000005"/>
    <n v="457907.57"/>
    <n v="43.31"/>
    <x v="0"/>
  </r>
  <r>
    <n v="2039"/>
    <s v="03-Nov-2024"/>
    <x v="10"/>
    <x v="2"/>
    <x v="0"/>
    <x v="2"/>
    <s v="Bed Frame"/>
    <n v="26"/>
    <n v="10120"/>
    <n v="263120"/>
    <x v="4"/>
    <n v="236808"/>
    <n v="134141.01999999999"/>
    <n v="102666.98"/>
    <n v="43.35"/>
    <x v="6"/>
  </r>
  <r>
    <n v="1278"/>
    <s v="08-Mar-2024"/>
    <x v="5"/>
    <x v="1"/>
    <x v="3"/>
    <x v="1"/>
    <s v="Tablet"/>
    <n v="45"/>
    <n v="4622"/>
    <n v="207990"/>
    <x v="0"/>
    <n v="197590.5"/>
    <n v="121117.81"/>
    <n v="76472.69"/>
    <n v="38.700000000000003"/>
    <x v="2"/>
  </r>
  <r>
    <n v="1468"/>
    <s v="26-May-2024"/>
    <x v="6"/>
    <x v="3"/>
    <x v="2"/>
    <x v="0"/>
    <s v="Dairy Products"/>
    <n v="28"/>
    <n v="125"/>
    <n v="3500"/>
    <x v="3"/>
    <n v="3500"/>
    <n v="2370.8200000000002"/>
    <n v="1129.18"/>
    <n v="32.26"/>
    <x v="1"/>
  </r>
  <r>
    <n v="1905"/>
    <s v="27-Oct-2024"/>
    <x v="3"/>
    <x v="2"/>
    <x v="1"/>
    <x v="1"/>
    <s v="Smart TV"/>
    <n v="142"/>
    <n v="15608"/>
    <n v="2216336"/>
    <x v="1"/>
    <n v="1883885.6"/>
    <n v="1285608"/>
    <n v="598277.6"/>
    <n v="31.76"/>
    <x v="7"/>
  </r>
  <r>
    <n v="1452"/>
    <s v="26-May-2024"/>
    <x v="6"/>
    <x v="3"/>
    <x v="2"/>
    <x v="1"/>
    <s v="Smartphone"/>
    <n v="127"/>
    <n v="8213"/>
    <n v="1043051"/>
    <x v="0"/>
    <n v="990898.45"/>
    <n v="593432.17000000004"/>
    <n v="397466.28"/>
    <n v="40.11"/>
    <x v="6"/>
  </r>
  <r>
    <n v="2149"/>
    <s v="15-Dec-2024"/>
    <x v="4"/>
    <x v="2"/>
    <x v="0"/>
    <x v="4"/>
    <s v="Dumbbells"/>
    <n v="44"/>
    <n v="1956"/>
    <n v="86064"/>
    <x v="3"/>
    <n v="86064"/>
    <n v="51057.98"/>
    <n v="35006.019999999997"/>
    <n v="40.67"/>
    <x v="1"/>
  </r>
  <r>
    <n v="1193"/>
    <s v="13-Feb-2024"/>
    <x v="1"/>
    <x v="1"/>
    <x v="3"/>
    <x v="0"/>
    <s v="Dairy Products"/>
    <n v="88"/>
    <n v="111"/>
    <n v="9768"/>
    <x v="3"/>
    <n v="9768"/>
    <n v="6758.86"/>
    <n v="3009.14"/>
    <n v="30.81"/>
    <x v="6"/>
  </r>
  <r>
    <n v="2049"/>
    <s v="03-Nov-2024"/>
    <x v="10"/>
    <x v="2"/>
    <x v="0"/>
    <x v="4"/>
    <s v="Dumbbells"/>
    <n v="32"/>
    <n v="1815"/>
    <n v="58080"/>
    <x v="2"/>
    <n v="46464"/>
    <n v="30467.95"/>
    <n v="15996.05"/>
    <n v="34.43"/>
    <x v="1"/>
  </r>
  <r>
    <n v="1226"/>
    <s v="08-Mar-2024"/>
    <x v="5"/>
    <x v="1"/>
    <x v="0"/>
    <x v="1"/>
    <s v="Laptop"/>
    <n v="27"/>
    <n v="12073"/>
    <n v="325971"/>
    <x v="1"/>
    <n v="277075.34999999998"/>
    <n v="169840.23"/>
    <n v="107235.12"/>
    <n v="38.700000000000003"/>
    <x v="3"/>
  </r>
  <r>
    <n v="1687"/>
    <s v="23-Jul-2024"/>
    <x v="0"/>
    <x v="0"/>
    <x v="3"/>
    <x v="2"/>
    <s v="Dining Table"/>
    <n v="95"/>
    <n v="11971"/>
    <n v="1137245"/>
    <x v="1"/>
    <n v="966658.25"/>
    <n v="595561.22"/>
    <n v="371097.03"/>
    <n v="38.39"/>
    <x v="1"/>
  </r>
  <r>
    <n v="1340"/>
    <s v="08-Apr-2024"/>
    <x v="7"/>
    <x v="3"/>
    <x v="0"/>
    <x v="2"/>
    <s v="Office Chair"/>
    <n v="93"/>
    <n v="5016"/>
    <n v="466488"/>
    <x v="4"/>
    <n v="419839.2"/>
    <n v="289565.33"/>
    <n v="130273.87"/>
    <n v="31.03"/>
    <x v="3"/>
  </r>
  <r>
    <n v="1518"/>
    <s v="07-Jun-2024"/>
    <x v="11"/>
    <x v="3"/>
    <x v="1"/>
    <x v="0"/>
    <s v="Dairy Products"/>
    <n v="157"/>
    <n v="124"/>
    <n v="19468"/>
    <x v="0"/>
    <n v="18494.599999999999"/>
    <n v="10741.98"/>
    <n v="7752.62"/>
    <n v="41.92"/>
    <x v="5"/>
  </r>
  <r>
    <n v="2026"/>
    <s v="03-Nov-2024"/>
    <x v="10"/>
    <x v="2"/>
    <x v="0"/>
    <x v="1"/>
    <s v="Laptop"/>
    <n v="114"/>
    <n v="11774"/>
    <n v="1342236"/>
    <x v="3"/>
    <n v="1342236"/>
    <n v="803838.91"/>
    <n v="538397.09"/>
    <n v="40.11"/>
    <x v="1"/>
  </r>
  <r>
    <n v="1636"/>
    <s v="23-Jul-2024"/>
    <x v="0"/>
    <x v="0"/>
    <x v="0"/>
    <x v="2"/>
    <s v="Sofa"/>
    <n v="89"/>
    <n v="16676"/>
    <n v="1484164"/>
    <x v="3"/>
    <n v="1484164"/>
    <n v="950119.19"/>
    <n v="534044.81000000006"/>
    <n v="35.979999999999997"/>
    <x v="4"/>
  </r>
  <r>
    <n v="2032"/>
    <s v="03-Nov-2024"/>
    <x v="10"/>
    <x v="2"/>
    <x v="0"/>
    <x v="3"/>
    <s v="Jeans"/>
    <n v="82"/>
    <n v="1103"/>
    <n v="90446"/>
    <x v="2"/>
    <n v="72356.800000000003"/>
    <n v="41708.35"/>
    <n v="30648.45"/>
    <n v="42.36"/>
    <x v="0"/>
  </r>
  <r>
    <n v="1669"/>
    <s v="23-Jul-2024"/>
    <x v="0"/>
    <x v="0"/>
    <x v="2"/>
    <x v="0"/>
    <s v="Frozen Foods"/>
    <n v="98"/>
    <n v="140"/>
    <n v="13720"/>
    <x v="3"/>
    <n v="13720"/>
    <n v="8165.7"/>
    <n v="5554.3"/>
    <n v="40.479999999999997"/>
    <x v="1"/>
  </r>
  <r>
    <n v="1069"/>
    <s v="21-Jan-2024"/>
    <x v="8"/>
    <x v="1"/>
    <x v="2"/>
    <x v="0"/>
    <s v="Frozen Foods"/>
    <n v="60"/>
    <n v="143"/>
    <n v="8580"/>
    <x v="3"/>
    <n v="8580"/>
    <n v="5963.39"/>
    <n v="2616.61"/>
    <n v="30.5"/>
    <x v="6"/>
  </r>
  <r>
    <n v="1259"/>
    <s v="08-Mar-2024"/>
    <x v="5"/>
    <x v="1"/>
    <x v="2"/>
    <x v="3"/>
    <s v="Dresses"/>
    <n v="98"/>
    <n v="1477"/>
    <n v="144746"/>
    <x v="4"/>
    <n v="130271.4"/>
    <n v="72005.509999999995"/>
    <n v="58265.89"/>
    <n v="44.73"/>
    <x v="6"/>
  </r>
  <r>
    <n v="1991"/>
    <s v="27-Oct-2024"/>
    <x v="3"/>
    <x v="2"/>
    <x v="3"/>
    <x v="0"/>
    <s v="Organic Snacks"/>
    <n v="134"/>
    <n v="219"/>
    <n v="29346"/>
    <x v="3"/>
    <n v="29346"/>
    <n v="16660.64"/>
    <n v="12685.36"/>
    <n v="43.23"/>
    <x v="2"/>
  </r>
  <r>
    <n v="2063"/>
    <s v="03-Nov-2024"/>
    <x v="10"/>
    <x v="2"/>
    <x v="2"/>
    <x v="2"/>
    <s v="Wardrobe"/>
    <n v="176"/>
    <n v="13266"/>
    <n v="2334816"/>
    <x v="2"/>
    <n v="1867852.8"/>
    <n v="1230727.96"/>
    <n v="637124.84"/>
    <n v="34.11"/>
    <x v="7"/>
  </r>
  <r>
    <n v="2162"/>
    <s v="15-Dec-2024"/>
    <x v="4"/>
    <x v="2"/>
    <x v="2"/>
    <x v="2"/>
    <s v="Dining Table"/>
    <n v="219"/>
    <n v="11771"/>
    <n v="2577849"/>
    <x v="2"/>
    <n v="2062279.2"/>
    <n v="1371988.41"/>
    <n v="690290.79"/>
    <n v="33.47"/>
    <x v="2"/>
  </r>
  <r>
    <n v="1618"/>
    <s v="23-Jul-2024"/>
    <x v="0"/>
    <x v="0"/>
    <x v="1"/>
    <x v="0"/>
    <s v="Dairy Products"/>
    <n v="49"/>
    <n v="122"/>
    <n v="5978"/>
    <x v="3"/>
    <n v="5978"/>
    <n v="4117.28"/>
    <n v="1860.72"/>
    <n v="31.13"/>
    <x v="1"/>
  </r>
  <r>
    <n v="1989"/>
    <s v="27-Oct-2024"/>
    <x v="3"/>
    <x v="2"/>
    <x v="3"/>
    <x v="2"/>
    <s v="Bed Frame"/>
    <n v="64"/>
    <n v="10150"/>
    <n v="649600"/>
    <x v="4"/>
    <n v="584640"/>
    <n v="402855.43"/>
    <n v="181784.57"/>
    <n v="31.09"/>
    <x v="2"/>
  </r>
  <r>
    <n v="1711"/>
    <s v="23-Aug-2024"/>
    <x v="2"/>
    <x v="0"/>
    <x v="1"/>
    <x v="2"/>
    <s v="Sofa"/>
    <n v="156"/>
    <n v="18172"/>
    <n v="2834832"/>
    <x v="4"/>
    <n v="2551348.7999999998"/>
    <n v="1675677.81"/>
    <n v="875670.99"/>
    <n v="34.32"/>
    <x v="5"/>
  </r>
  <r>
    <n v="1546"/>
    <s v="07-Jun-2024"/>
    <x v="11"/>
    <x v="3"/>
    <x v="0"/>
    <x v="4"/>
    <s v="Cricket Bat"/>
    <n v="24"/>
    <n v="1210"/>
    <n v="29040"/>
    <x v="3"/>
    <n v="29040"/>
    <n v="20114.509999999998"/>
    <n v="8925.49"/>
    <n v="30.74"/>
    <x v="4"/>
  </r>
  <r>
    <n v="1063"/>
    <s v="21-Jan-2024"/>
    <x v="8"/>
    <x v="1"/>
    <x v="2"/>
    <x v="2"/>
    <s v="Wardrobe"/>
    <n v="91"/>
    <n v="14467"/>
    <n v="1316497"/>
    <x v="4"/>
    <n v="1184847.3"/>
    <n v="790313.81"/>
    <n v="394533.49"/>
    <n v="33.299999999999997"/>
    <x v="0"/>
  </r>
  <r>
    <n v="1002"/>
    <s v="21-Jan-2024"/>
    <x v="8"/>
    <x v="1"/>
    <x v="1"/>
    <x v="1"/>
    <s v="Smartphone"/>
    <n v="95"/>
    <n v="8627"/>
    <n v="819565"/>
    <x v="3"/>
    <n v="819565"/>
    <n v="523352.8"/>
    <n v="296212.2"/>
    <n v="36.14"/>
    <x v="4"/>
  </r>
  <r>
    <n v="1229"/>
    <s v="08-Mar-2024"/>
    <x v="5"/>
    <x v="1"/>
    <x v="0"/>
    <x v="1"/>
    <s v="Headphones"/>
    <n v="66"/>
    <n v="788"/>
    <n v="52008"/>
    <x v="2"/>
    <n v="41606.400000000001"/>
    <n v="25468.42"/>
    <n v="16137.98"/>
    <n v="38.79"/>
    <x v="5"/>
  </r>
  <r>
    <n v="1961"/>
    <s v="27-Oct-2024"/>
    <x v="3"/>
    <x v="2"/>
    <x v="2"/>
    <x v="2"/>
    <s v="Sofa"/>
    <n v="137"/>
    <n v="19320"/>
    <n v="2646840"/>
    <x v="0"/>
    <n v="2514498"/>
    <n v="1544237.09"/>
    <n v="970260.91"/>
    <n v="38.590000000000003"/>
    <x v="4"/>
  </r>
  <r>
    <n v="1686"/>
    <s v="23-Jul-2024"/>
    <x v="0"/>
    <x v="0"/>
    <x v="3"/>
    <x v="2"/>
    <s v="Sofa"/>
    <n v="50"/>
    <n v="17567"/>
    <n v="878350"/>
    <x v="4"/>
    <n v="790515"/>
    <n v="507276.45"/>
    <n v="283238.55"/>
    <n v="35.83"/>
    <x v="7"/>
  </r>
  <r>
    <n v="1545"/>
    <s v="07-Jun-2024"/>
    <x v="11"/>
    <x v="3"/>
    <x v="0"/>
    <x v="0"/>
    <s v="Condiments"/>
    <n v="156"/>
    <n v="95"/>
    <n v="14820"/>
    <x v="0"/>
    <n v="14079"/>
    <n v="8061.42"/>
    <n v="6017.58"/>
    <n v="42.74"/>
    <x v="0"/>
  </r>
  <r>
    <n v="1359"/>
    <s v="08-Apr-2024"/>
    <x v="7"/>
    <x v="3"/>
    <x v="2"/>
    <x v="3"/>
    <s v="Dresses"/>
    <n v="108"/>
    <n v="1366"/>
    <n v="147528"/>
    <x v="1"/>
    <n v="125398.8"/>
    <n v="75182.100000000006"/>
    <n v="50216.7"/>
    <n v="40.049999999999997"/>
    <x v="2"/>
  </r>
  <r>
    <n v="1580"/>
    <s v="07-Jun-2024"/>
    <x v="11"/>
    <x v="3"/>
    <x v="3"/>
    <x v="1"/>
    <s v="Smart TV"/>
    <n v="92"/>
    <n v="13771"/>
    <n v="1266932"/>
    <x v="0"/>
    <n v="1203585.3999999999"/>
    <n v="770594.85"/>
    <n v="432990.55"/>
    <n v="35.979999999999997"/>
    <x v="4"/>
  </r>
  <r>
    <n v="2011"/>
    <s v="03-Nov-2024"/>
    <x v="10"/>
    <x v="2"/>
    <x v="1"/>
    <x v="2"/>
    <s v="Sofa"/>
    <n v="51"/>
    <n v="18958"/>
    <n v="966858"/>
    <x v="0"/>
    <n v="918515.1"/>
    <n v="508280.57"/>
    <n v="410234.53"/>
    <n v="44.66"/>
    <x v="6"/>
  </r>
  <r>
    <n v="2081"/>
    <s v="03-Nov-2024"/>
    <x v="10"/>
    <x v="2"/>
    <x v="3"/>
    <x v="3"/>
    <s v="T-Shirts"/>
    <n v="206"/>
    <n v="470"/>
    <n v="96820"/>
    <x v="1"/>
    <n v="82297"/>
    <n v="47466.14"/>
    <n v="34830.86"/>
    <n v="42.32"/>
    <x v="2"/>
  </r>
  <r>
    <n v="1210"/>
    <s v="08-Mar-2024"/>
    <x v="5"/>
    <x v="1"/>
    <x v="1"/>
    <x v="3"/>
    <s v="Shoes"/>
    <n v="82"/>
    <n v="1947"/>
    <n v="159654"/>
    <x v="3"/>
    <n v="159654"/>
    <n v="109345.43"/>
    <n v="50308.57"/>
    <n v="31.51"/>
    <x v="3"/>
  </r>
  <r>
    <n v="1257"/>
    <s v="08-Mar-2024"/>
    <x v="5"/>
    <x v="1"/>
    <x v="2"/>
    <x v="3"/>
    <s v="Jeans"/>
    <n v="137"/>
    <n v="1248"/>
    <n v="170976"/>
    <x v="1"/>
    <n v="145329.60000000001"/>
    <n v="82742.350000000006"/>
    <n v="62587.25"/>
    <n v="43.07"/>
    <x v="1"/>
  </r>
  <r>
    <n v="2060"/>
    <s v="03-Nov-2024"/>
    <x v="10"/>
    <x v="2"/>
    <x v="2"/>
    <x v="3"/>
    <s v="Shoes"/>
    <n v="155"/>
    <n v="1753"/>
    <n v="271715"/>
    <x v="3"/>
    <n v="271715"/>
    <n v="160091.19"/>
    <n v="111623.81"/>
    <n v="41.08"/>
    <x v="5"/>
  </r>
  <r>
    <n v="1166"/>
    <s v="13-Feb-2024"/>
    <x v="1"/>
    <x v="1"/>
    <x v="2"/>
    <x v="0"/>
    <s v="Organic Snacks"/>
    <n v="118"/>
    <n v="219"/>
    <n v="25842"/>
    <x v="3"/>
    <n v="25842"/>
    <n v="16032.99"/>
    <n v="9809.01"/>
    <n v="37.96"/>
    <x v="6"/>
  </r>
  <r>
    <n v="1988"/>
    <s v="27-Oct-2024"/>
    <x v="3"/>
    <x v="2"/>
    <x v="3"/>
    <x v="2"/>
    <s v="Wardrobe"/>
    <n v="99"/>
    <n v="14528"/>
    <n v="1438272"/>
    <x v="0"/>
    <n v="1366358.4"/>
    <n v="839023.36"/>
    <n v="527335.04"/>
    <n v="38.590000000000003"/>
    <x v="3"/>
  </r>
  <r>
    <n v="2000"/>
    <s v="27-Oct-2024"/>
    <x v="3"/>
    <x v="2"/>
    <x v="3"/>
    <x v="4"/>
    <s v="Cycling Gear"/>
    <n v="110"/>
    <n v="3163"/>
    <n v="347930"/>
    <x v="4"/>
    <n v="313137"/>
    <n v="209779.96"/>
    <n v="103357.04"/>
    <n v="33.01"/>
    <x v="3"/>
  </r>
  <r>
    <n v="1713"/>
    <s v="23-Aug-2024"/>
    <x v="2"/>
    <x v="0"/>
    <x v="1"/>
    <x v="2"/>
    <s v="Wardrobe"/>
    <n v="178"/>
    <n v="14420"/>
    <n v="2566760"/>
    <x v="3"/>
    <n v="2566760"/>
    <n v="1605724.03"/>
    <n v="961035.97"/>
    <n v="37.44"/>
    <x v="3"/>
  </r>
  <r>
    <n v="1632"/>
    <s v="23-Jul-2024"/>
    <x v="0"/>
    <x v="0"/>
    <x v="0"/>
    <x v="3"/>
    <s v="Jeans"/>
    <n v="158"/>
    <n v="1194"/>
    <n v="188652"/>
    <x v="4"/>
    <n v="169786.8"/>
    <n v="102150.08"/>
    <n v="67636.72"/>
    <n v="39.840000000000003"/>
    <x v="6"/>
  </r>
  <r>
    <n v="1830"/>
    <s v="26-Sep-2024"/>
    <x v="9"/>
    <x v="0"/>
    <x v="0"/>
    <x v="1"/>
    <s v="Smart TV"/>
    <n v="69"/>
    <n v="13802"/>
    <n v="952338"/>
    <x v="4"/>
    <n v="857104.2"/>
    <n v="550189.51"/>
    <n v="306914.69"/>
    <n v="35.81"/>
    <x v="6"/>
  </r>
  <r>
    <n v="2024"/>
    <s v="03-Nov-2024"/>
    <x v="10"/>
    <x v="2"/>
    <x v="1"/>
    <x v="4"/>
    <s v="Dumbbells"/>
    <n v="121"/>
    <n v="1812"/>
    <n v="219252"/>
    <x v="2"/>
    <n v="175401.60000000001"/>
    <n v="99440.97"/>
    <n v="75960.63"/>
    <n v="43.31"/>
    <x v="2"/>
  </r>
  <r>
    <n v="1746"/>
    <s v="23-Aug-2024"/>
    <x v="2"/>
    <x v="0"/>
    <x v="0"/>
    <x v="4"/>
    <s v="Cricket Bat"/>
    <n v="72"/>
    <n v="1277"/>
    <n v="91944"/>
    <x v="3"/>
    <n v="91944"/>
    <n v="57106.25"/>
    <n v="34837.75"/>
    <n v="37.89"/>
    <x v="5"/>
  </r>
  <r>
    <n v="1904"/>
    <s v="27-Oct-2024"/>
    <x v="3"/>
    <x v="2"/>
    <x v="1"/>
    <x v="1"/>
    <s v="Headphones"/>
    <n v="122"/>
    <n v="809"/>
    <n v="98698"/>
    <x v="3"/>
    <n v="98698"/>
    <n v="65628.5"/>
    <n v="33069.5"/>
    <n v="33.51"/>
    <x v="3"/>
  </r>
  <r>
    <n v="1456"/>
    <s v="26-May-2024"/>
    <x v="6"/>
    <x v="3"/>
    <x v="2"/>
    <x v="3"/>
    <s v="T-Shirts"/>
    <n v="139"/>
    <n v="530"/>
    <n v="73670"/>
    <x v="1"/>
    <n v="62619.5"/>
    <n v="40761.949999999997"/>
    <n v="21857.55"/>
    <n v="34.909999999999997"/>
    <x v="7"/>
  </r>
  <r>
    <n v="1397"/>
    <s v="08-Apr-2024"/>
    <x v="7"/>
    <x v="3"/>
    <x v="3"/>
    <x v="4"/>
    <s v="Football"/>
    <n v="95"/>
    <n v="633"/>
    <n v="60135"/>
    <x v="4"/>
    <n v="54121.5"/>
    <n v="31690.07"/>
    <n v="22431.43"/>
    <n v="41.45"/>
    <x v="7"/>
  </r>
  <r>
    <n v="1777"/>
    <s v="23-Aug-2024"/>
    <x v="2"/>
    <x v="0"/>
    <x v="3"/>
    <x v="1"/>
    <s v="Smartphone"/>
    <n v="44"/>
    <n v="8163"/>
    <n v="359172"/>
    <x v="3"/>
    <n v="359172"/>
    <n v="233162.41"/>
    <n v="126009.59"/>
    <n v="35.08"/>
    <x v="0"/>
  </r>
  <r>
    <n v="1528"/>
    <s v="07-Jun-2024"/>
    <x v="11"/>
    <x v="3"/>
    <x v="0"/>
    <x v="1"/>
    <s v="Tablet"/>
    <n v="100"/>
    <n v="5263"/>
    <n v="526300"/>
    <x v="3"/>
    <n v="526300"/>
    <n v="313951.33"/>
    <n v="212348.67"/>
    <n v="40.35"/>
    <x v="0"/>
  </r>
  <r>
    <n v="1532"/>
    <s v="07-Jun-2024"/>
    <x v="11"/>
    <x v="3"/>
    <x v="0"/>
    <x v="3"/>
    <s v="Jeans"/>
    <n v="91"/>
    <n v="1268"/>
    <n v="115388"/>
    <x v="0"/>
    <n v="109618.6"/>
    <n v="63035.57"/>
    <n v="46583.03"/>
    <n v="42.5"/>
    <x v="7"/>
  </r>
  <r>
    <n v="1234"/>
    <s v="08-Mar-2024"/>
    <x v="5"/>
    <x v="1"/>
    <x v="0"/>
    <x v="3"/>
    <s v="Dresses"/>
    <n v="31"/>
    <n v="1510"/>
    <n v="46810"/>
    <x v="0"/>
    <n v="44469.5"/>
    <n v="27795.19"/>
    <n v="16674.310000000001"/>
    <n v="37.5"/>
    <x v="3"/>
  </r>
  <r>
    <n v="1568"/>
    <s v="07-Jun-2024"/>
    <x v="11"/>
    <x v="3"/>
    <x v="2"/>
    <x v="0"/>
    <s v="Dairy Products"/>
    <n v="155"/>
    <n v="109"/>
    <n v="16895"/>
    <x v="0"/>
    <n v="16050.25"/>
    <n v="10385.98"/>
    <n v="5664.27"/>
    <n v="35.29"/>
    <x v="2"/>
  </r>
  <r>
    <n v="2077"/>
    <s v="03-Nov-2024"/>
    <x v="10"/>
    <x v="2"/>
    <x v="3"/>
    <x v="1"/>
    <s v="Smartphone"/>
    <n v="74"/>
    <n v="7947"/>
    <n v="588078"/>
    <x v="3"/>
    <n v="588078"/>
    <n v="379790.81"/>
    <n v="208287.19"/>
    <n v="35.42"/>
    <x v="6"/>
  </r>
  <r>
    <n v="1693"/>
    <s v="23-Jul-2024"/>
    <x v="0"/>
    <x v="0"/>
    <x v="3"/>
    <x v="0"/>
    <s v="Dairy Products"/>
    <n v="30"/>
    <n v="113"/>
    <n v="3390"/>
    <x v="1"/>
    <n v="2881.5"/>
    <n v="1759.13"/>
    <n v="1122.3699999999999"/>
    <n v="38.950000000000003"/>
    <x v="5"/>
  </r>
  <r>
    <n v="1779"/>
    <s v="23-Aug-2024"/>
    <x v="2"/>
    <x v="0"/>
    <x v="3"/>
    <x v="1"/>
    <s v="Headphones"/>
    <n v="52"/>
    <n v="746"/>
    <n v="38792"/>
    <x v="1"/>
    <n v="32973.199999999997"/>
    <n v="18246.28"/>
    <n v="14726.92"/>
    <n v="44.66"/>
    <x v="4"/>
  </r>
  <r>
    <n v="1266"/>
    <s v="08-Mar-2024"/>
    <x v="5"/>
    <x v="1"/>
    <x v="2"/>
    <x v="0"/>
    <s v="Organic Snacks"/>
    <n v="137"/>
    <n v="211"/>
    <n v="28907"/>
    <x v="0"/>
    <n v="27461.65"/>
    <n v="16619.14"/>
    <n v="10842.51"/>
    <n v="39.479999999999997"/>
    <x v="2"/>
  </r>
  <r>
    <n v="1556"/>
    <s v="07-Jun-2024"/>
    <x v="11"/>
    <x v="3"/>
    <x v="2"/>
    <x v="3"/>
    <s v="T-Shirts"/>
    <n v="90"/>
    <n v="496"/>
    <n v="44640"/>
    <x v="3"/>
    <n v="44640"/>
    <n v="25157.46"/>
    <n v="19482.54"/>
    <n v="43.64"/>
    <x v="6"/>
  </r>
  <r>
    <n v="1364"/>
    <s v="08-Apr-2024"/>
    <x v="7"/>
    <x v="3"/>
    <x v="2"/>
    <x v="2"/>
    <s v="Bed Frame"/>
    <n v="78"/>
    <n v="10675"/>
    <n v="832650"/>
    <x v="3"/>
    <n v="832650"/>
    <n v="582501.77"/>
    <n v="250148.23"/>
    <n v="30.04"/>
    <x v="0"/>
  </r>
  <r>
    <n v="1941"/>
    <s v="27-Oct-2024"/>
    <x v="3"/>
    <x v="2"/>
    <x v="0"/>
    <x v="0"/>
    <s v="Organic Snacks"/>
    <n v="50"/>
    <n v="200"/>
    <n v="10000"/>
    <x v="2"/>
    <n v="8000"/>
    <n v="5072.83"/>
    <n v="2927.17"/>
    <n v="36.590000000000003"/>
    <x v="4"/>
  </r>
  <r>
    <n v="1567"/>
    <s v="07-Jun-2024"/>
    <x v="11"/>
    <x v="3"/>
    <x v="2"/>
    <x v="0"/>
    <s v="Beverages"/>
    <n v="49"/>
    <n v="75"/>
    <n v="3675"/>
    <x v="3"/>
    <n v="3675"/>
    <n v="2172.83"/>
    <n v="1502.17"/>
    <n v="40.880000000000003"/>
    <x v="2"/>
  </r>
  <r>
    <n v="1766"/>
    <s v="23-Aug-2024"/>
    <x v="2"/>
    <x v="0"/>
    <x v="2"/>
    <x v="0"/>
    <s v="Organic Snacks"/>
    <n v="82"/>
    <n v="200"/>
    <n v="16400"/>
    <x v="0"/>
    <n v="15580"/>
    <n v="10550.73"/>
    <n v="5029.2700000000004"/>
    <n v="32.28"/>
    <x v="7"/>
  </r>
  <r>
    <n v="1908"/>
    <s v="27-Oct-2024"/>
    <x v="3"/>
    <x v="2"/>
    <x v="1"/>
    <x v="3"/>
    <s v="Jackets"/>
    <n v="157"/>
    <n v="1972"/>
    <n v="309604"/>
    <x v="4"/>
    <n v="278643.59999999998"/>
    <n v="178683.55"/>
    <n v="99960.05"/>
    <n v="35.869999999999997"/>
    <x v="5"/>
  </r>
  <r>
    <n v="1026"/>
    <s v="21-Jan-2024"/>
    <x v="8"/>
    <x v="1"/>
    <x v="0"/>
    <x v="1"/>
    <s v="Laptop"/>
    <n v="68"/>
    <n v="12669"/>
    <n v="861492"/>
    <x v="3"/>
    <n v="861492"/>
    <n v="551218.5"/>
    <n v="310273.5"/>
    <n v="36.020000000000003"/>
    <x v="2"/>
  </r>
  <r>
    <n v="2110"/>
    <s v="15-Dec-2024"/>
    <x v="4"/>
    <x v="2"/>
    <x v="1"/>
    <x v="3"/>
    <s v="Shoes"/>
    <n v="181"/>
    <n v="1694"/>
    <n v="306614"/>
    <x v="0"/>
    <n v="291283.3"/>
    <n v="183060.79"/>
    <n v="108222.51"/>
    <n v="37.15"/>
    <x v="0"/>
  </r>
  <r>
    <n v="1264"/>
    <s v="08-Mar-2024"/>
    <x v="5"/>
    <x v="1"/>
    <x v="2"/>
    <x v="2"/>
    <s v="Bed Frame"/>
    <n v="69"/>
    <n v="10353"/>
    <n v="714357"/>
    <x v="0"/>
    <n v="678639.15"/>
    <n v="471951.65"/>
    <n v="206687.5"/>
    <n v="30.46"/>
    <x v="6"/>
  </r>
  <r>
    <n v="1078"/>
    <s v="21-Jan-2024"/>
    <x v="8"/>
    <x v="1"/>
    <x v="3"/>
    <x v="1"/>
    <s v="Tablet"/>
    <n v="86"/>
    <n v="5403"/>
    <n v="464658"/>
    <x v="0"/>
    <n v="441425.1"/>
    <n v="269671.57"/>
    <n v="171753.53"/>
    <n v="38.909999999999997"/>
    <x v="4"/>
  </r>
  <r>
    <n v="1785"/>
    <s v="23-Aug-2024"/>
    <x v="2"/>
    <x v="0"/>
    <x v="3"/>
    <x v="3"/>
    <s v="Shoes"/>
    <n v="111"/>
    <n v="1804"/>
    <n v="200244"/>
    <x v="3"/>
    <n v="200244"/>
    <n v="131886.31"/>
    <n v="68357.69"/>
    <n v="34.14"/>
    <x v="3"/>
  </r>
  <r>
    <n v="1467"/>
    <s v="26-May-2024"/>
    <x v="6"/>
    <x v="3"/>
    <x v="2"/>
    <x v="0"/>
    <s v="Beverages"/>
    <n v="90"/>
    <n v="79"/>
    <n v="7110"/>
    <x v="2"/>
    <n v="5688"/>
    <n v="3400.49"/>
    <n v="2287.5100000000002"/>
    <n v="40.22"/>
    <x v="6"/>
  </r>
  <r>
    <n v="2088"/>
    <s v="03-Nov-2024"/>
    <x v="10"/>
    <x v="2"/>
    <x v="3"/>
    <x v="2"/>
    <s v="Wardrobe"/>
    <n v="97"/>
    <n v="14530"/>
    <n v="1409410"/>
    <x v="2"/>
    <n v="1127528"/>
    <n v="640639.48"/>
    <n v="486888.52"/>
    <n v="43.18"/>
    <x v="3"/>
  </r>
  <r>
    <n v="1638"/>
    <s v="23-Jul-2024"/>
    <x v="0"/>
    <x v="0"/>
    <x v="0"/>
    <x v="2"/>
    <s v="Wardrobe"/>
    <n v="82"/>
    <n v="13654"/>
    <n v="1119628"/>
    <x v="4"/>
    <n v="1007665.2"/>
    <n v="623593.31000000006"/>
    <n v="384071.89"/>
    <n v="38.119999999999997"/>
    <x v="5"/>
  </r>
  <r>
    <n v="1720"/>
    <s v="23-Aug-2024"/>
    <x v="2"/>
    <x v="0"/>
    <x v="1"/>
    <x v="0"/>
    <s v="Condiments"/>
    <n v="61"/>
    <n v="95"/>
    <n v="5795"/>
    <x v="0"/>
    <n v="5505.25"/>
    <n v="3600.11"/>
    <n v="1905.14"/>
    <n v="34.61"/>
    <x v="4"/>
  </r>
  <r>
    <n v="1347"/>
    <s v="08-Apr-2024"/>
    <x v="7"/>
    <x v="3"/>
    <x v="0"/>
    <x v="4"/>
    <s v="Football"/>
    <n v="57"/>
    <n v="558"/>
    <n v="31806"/>
    <x v="0"/>
    <n v="30215.7"/>
    <n v="18478.61"/>
    <n v="11737.09"/>
    <n v="38.840000000000003"/>
    <x v="2"/>
  </r>
  <r>
    <n v="1062"/>
    <s v="21-Jan-2024"/>
    <x v="8"/>
    <x v="1"/>
    <x v="2"/>
    <x v="2"/>
    <s v="Dining Table"/>
    <n v="114"/>
    <n v="12711"/>
    <n v="1449054"/>
    <x v="3"/>
    <n v="1449054"/>
    <n v="992368.25"/>
    <n v="456685.75"/>
    <n v="31.52"/>
    <x v="5"/>
  </r>
  <r>
    <n v="2194"/>
    <s v="15-Dec-2024"/>
    <x v="4"/>
    <x v="2"/>
    <x v="3"/>
    <x v="0"/>
    <s v="Frozen Foods"/>
    <n v="111"/>
    <n v="162"/>
    <n v="17982"/>
    <x v="3"/>
    <n v="17982"/>
    <n v="12098.77"/>
    <n v="5883.23"/>
    <n v="32.72"/>
    <x v="4"/>
  </r>
  <r>
    <n v="2013"/>
    <s v="03-Nov-2024"/>
    <x v="10"/>
    <x v="2"/>
    <x v="1"/>
    <x v="2"/>
    <s v="Wardrobe"/>
    <n v="137"/>
    <n v="14764"/>
    <n v="2022668"/>
    <x v="3"/>
    <n v="2022668"/>
    <n v="1195190.74"/>
    <n v="827477.26"/>
    <n v="40.909999999999997"/>
    <x v="7"/>
  </r>
  <r>
    <n v="1727"/>
    <s v="23-Aug-2024"/>
    <x v="2"/>
    <x v="0"/>
    <x v="0"/>
    <x v="1"/>
    <s v="Smartphone"/>
    <n v="117"/>
    <n v="7448"/>
    <n v="871416"/>
    <x v="3"/>
    <n v="871416"/>
    <n v="600662.03"/>
    <n v="270753.96999999997"/>
    <n v="31.07"/>
    <x v="4"/>
  </r>
  <r>
    <n v="2191"/>
    <s v="15-Dec-2024"/>
    <x v="4"/>
    <x v="2"/>
    <x v="3"/>
    <x v="0"/>
    <s v="Organic Snacks"/>
    <n v="48"/>
    <n v="203"/>
    <n v="9744"/>
    <x v="3"/>
    <n v="9744"/>
    <n v="5378.05"/>
    <n v="4365.95"/>
    <n v="44.81"/>
    <x v="6"/>
  </r>
  <r>
    <n v="1576"/>
    <s v="07-Jun-2024"/>
    <x v="11"/>
    <x v="3"/>
    <x v="3"/>
    <x v="1"/>
    <s v="Laptop"/>
    <n v="131"/>
    <n v="13075"/>
    <n v="1712825"/>
    <x v="1"/>
    <n v="1455901.25"/>
    <n v="878229.76"/>
    <n v="577671.49"/>
    <n v="39.68"/>
    <x v="7"/>
  </r>
  <r>
    <n v="1017"/>
    <s v="21-Jan-2024"/>
    <x v="8"/>
    <x v="1"/>
    <x v="1"/>
    <x v="0"/>
    <s v="Beverages"/>
    <n v="45"/>
    <n v="81"/>
    <n v="3645"/>
    <x v="0"/>
    <n v="3462.75"/>
    <n v="2292.52"/>
    <n v="1170.23"/>
    <n v="33.79"/>
    <x v="0"/>
  </r>
  <r>
    <n v="1478"/>
    <s v="26-May-2024"/>
    <x v="6"/>
    <x v="3"/>
    <x v="3"/>
    <x v="1"/>
    <s v="Tablet"/>
    <n v="62"/>
    <n v="4683"/>
    <n v="290346"/>
    <x v="3"/>
    <n v="290346"/>
    <n v="181937.69"/>
    <n v="108408.31"/>
    <n v="37.340000000000003"/>
    <x v="0"/>
  </r>
  <r>
    <n v="1090"/>
    <s v="21-Jan-2024"/>
    <x v="8"/>
    <x v="1"/>
    <x v="3"/>
    <x v="2"/>
    <s v="Office Chair"/>
    <n v="103"/>
    <n v="4777"/>
    <n v="492031"/>
    <x v="2"/>
    <n v="393624.8"/>
    <n v="253499.2"/>
    <n v="140125.6"/>
    <n v="35.6"/>
    <x v="6"/>
  </r>
  <r>
    <n v="2052"/>
    <s v="03-Nov-2024"/>
    <x v="10"/>
    <x v="2"/>
    <x v="2"/>
    <x v="1"/>
    <s v="Smartphone"/>
    <n v="160"/>
    <n v="8063"/>
    <n v="1290080"/>
    <x v="0"/>
    <n v="1225576"/>
    <n v="786765.7"/>
    <n v="438810.3"/>
    <n v="35.799999999999997"/>
    <x v="3"/>
  </r>
  <r>
    <n v="2067"/>
    <s v="03-Nov-2024"/>
    <x v="10"/>
    <x v="2"/>
    <x v="2"/>
    <x v="0"/>
    <s v="Beverages"/>
    <n v="120"/>
    <n v="74"/>
    <n v="8880"/>
    <x v="1"/>
    <n v="7548"/>
    <n v="4164.83"/>
    <n v="3383.17"/>
    <n v="44.82"/>
    <x v="2"/>
  </r>
  <r>
    <n v="1738"/>
    <s v="23-Aug-2024"/>
    <x v="2"/>
    <x v="0"/>
    <x v="0"/>
    <x v="2"/>
    <s v="Wardrobe"/>
    <n v="106"/>
    <n v="13190"/>
    <n v="1398140"/>
    <x v="0"/>
    <n v="1328233"/>
    <n v="902856.59"/>
    <n v="425376.41"/>
    <n v="32.03"/>
    <x v="0"/>
  </r>
  <r>
    <n v="1672"/>
    <s v="23-Jul-2024"/>
    <x v="0"/>
    <x v="0"/>
    <x v="2"/>
    <x v="4"/>
    <s v="Football"/>
    <n v="102"/>
    <n v="613"/>
    <n v="62526"/>
    <x v="0"/>
    <n v="59399.7"/>
    <n v="40078.449999999997"/>
    <n v="19321.25"/>
    <n v="32.53"/>
    <x v="5"/>
  </r>
  <r>
    <n v="1343"/>
    <s v="08-Apr-2024"/>
    <x v="7"/>
    <x v="3"/>
    <x v="0"/>
    <x v="0"/>
    <s v="Dairy Products"/>
    <n v="140"/>
    <n v="122"/>
    <n v="17080"/>
    <x v="3"/>
    <n v="17080"/>
    <n v="10923.28"/>
    <n v="6156.72"/>
    <n v="36.049999999999997"/>
    <x v="6"/>
  </r>
  <r>
    <n v="1500"/>
    <s v="26-May-2024"/>
    <x v="6"/>
    <x v="3"/>
    <x v="3"/>
    <x v="4"/>
    <s v="Cycling Gear"/>
    <n v="107"/>
    <n v="3638"/>
    <n v="389266"/>
    <x v="3"/>
    <n v="389266"/>
    <n v="260555.85"/>
    <n v="128710.15"/>
    <n v="33.06"/>
    <x v="0"/>
  </r>
  <r>
    <n v="1286"/>
    <s v="08-Mar-2024"/>
    <x v="5"/>
    <x v="1"/>
    <x v="3"/>
    <x v="2"/>
    <s v="Sofa"/>
    <n v="81"/>
    <n v="19129"/>
    <n v="1549449"/>
    <x v="3"/>
    <n v="1549449"/>
    <n v="1045192.52"/>
    <n v="504256.48"/>
    <n v="32.54"/>
    <x v="2"/>
  </r>
  <r>
    <n v="1935"/>
    <s v="27-Oct-2024"/>
    <x v="3"/>
    <x v="2"/>
    <x v="0"/>
    <x v="3"/>
    <s v="Shoes"/>
    <n v="104"/>
    <n v="1844"/>
    <n v="191776"/>
    <x v="3"/>
    <n v="191776"/>
    <n v="125471.49"/>
    <n v="66304.509999999995"/>
    <n v="34.57"/>
    <x v="4"/>
  </r>
  <r>
    <n v="1748"/>
    <s v="23-Aug-2024"/>
    <x v="2"/>
    <x v="0"/>
    <x v="0"/>
    <x v="4"/>
    <s v="Yoga Mat"/>
    <n v="61"/>
    <n v="862"/>
    <n v="52582"/>
    <x v="4"/>
    <n v="47323.8"/>
    <n v="32824.199999999997"/>
    <n v="14499.6"/>
    <n v="30.64"/>
    <x v="4"/>
  </r>
  <r>
    <n v="1793"/>
    <s v="23-Aug-2024"/>
    <x v="2"/>
    <x v="0"/>
    <x v="3"/>
    <x v="0"/>
    <s v="Dairy Products"/>
    <n v="62"/>
    <n v="129"/>
    <n v="7998"/>
    <x v="1"/>
    <n v="6798.3"/>
    <n v="4001.96"/>
    <n v="2796.34"/>
    <n v="41.13"/>
    <x v="4"/>
  </r>
  <r>
    <n v="1673"/>
    <s v="23-Jul-2024"/>
    <x v="0"/>
    <x v="0"/>
    <x v="2"/>
    <x v="4"/>
    <s v="Yoga Mat"/>
    <n v="80"/>
    <n v="786"/>
    <n v="62880"/>
    <x v="3"/>
    <n v="62880"/>
    <n v="34955.67"/>
    <n v="27924.33"/>
    <n v="44.41"/>
    <x v="2"/>
  </r>
  <r>
    <n v="1520"/>
    <s v="07-Jun-2024"/>
    <x v="11"/>
    <x v="3"/>
    <x v="1"/>
    <x v="0"/>
    <s v="Condiments"/>
    <n v="102"/>
    <n v="83"/>
    <n v="8466"/>
    <x v="2"/>
    <n v="6772.8"/>
    <n v="4373.28"/>
    <n v="2399.52"/>
    <n v="35.43"/>
    <x v="1"/>
  </r>
  <r>
    <n v="1052"/>
    <s v="21-Jan-2024"/>
    <x v="8"/>
    <x v="1"/>
    <x v="2"/>
    <x v="1"/>
    <s v="Smartphone"/>
    <n v="72"/>
    <n v="7412"/>
    <n v="533664"/>
    <x v="4"/>
    <n v="480297.6"/>
    <n v="327625.21999999997"/>
    <n v="152672.38"/>
    <n v="31.79"/>
    <x v="5"/>
  </r>
  <r>
    <n v="2017"/>
    <s v="03-Nov-2024"/>
    <x v="10"/>
    <x v="2"/>
    <x v="1"/>
    <x v="0"/>
    <s v="Beverages"/>
    <n v="56"/>
    <n v="80"/>
    <n v="4480"/>
    <x v="3"/>
    <n v="4480"/>
    <n v="2535.1799999999998"/>
    <n v="1944.82"/>
    <n v="43.41"/>
    <x v="4"/>
  </r>
  <r>
    <n v="1081"/>
    <s v="21-Jan-2024"/>
    <x v="8"/>
    <x v="1"/>
    <x v="3"/>
    <x v="3"/>
    <s v="T-Shirts"/>
    <n v="69"/>
    <n v="513"/>
    <n v="35397"/>
    <x v="4"/>
    <n v="31857.3"/>
    <n v="17967.77"/>
    <n v="13889.53"/>
    <n v="43.6"/>
    <x v="5"/>
  </r>
  <r>
    <n v="1838"/>
    <s v="26-Sep-2024"/>
    <x v="9"/>
    <x v="0"/>
    <x v="0"/>
    <x v="2"/>
    <s v="Wardrobe"/>
    <n v="27"/>
    <n v="14879"/>
    <n v="401733"/>
    <x v="2"/>
    <n v="321386.40000000002"/>
    <n v="217207.63"/>
    <n v="104178.77"/>
    <n v="32.42"/>
    <x v="1"/>
  </r>
  <r>
    <n v="1067"/>
    <s v="21-Jan-2024"/>
    <x v="8"/>
    <x v="1"/>
    <x v="2"/>
    <x v="0"/>
    <s v="Beverages"/>
    <n v="58"/>
    <n v="73"/>
    <n v="4234"/>
    <x v="2"/>
    <n v="3387.2"/>
    <n v="1975.97"/>
    <n v="1411.23"/>
    <n v="41.66"/>
    <x v="2"/>
  </r>
  <r>
    <n v="1248"/>
    <s v="08-Mar-2024"/>
    <x v="5"/>
    <x v="1"/>
    <x v="0"/>
    <x v="4"/>
    <s v="Yoga Mat"/>
    <n v="109"/>
    <n v="732"/>
    <n v="79788"/>
    <x v="3"/>
    <n v="79788"/>
    <n v="51243.94"/>
    <n v="28544.06"/>
    <n v="35.770000000000003"/>
    <x v="0"/>
  </r>
  <r>
    <n v="1390"/>
    <s v="08-Apr-2024"/>
    <x v="7"/>
    <x v="3"/>
    <x v="3"/>
    <x v="2"/>
    <s v="Office Chair"/>
    <n v="88"/>
    <n v="5228"/>
    <n v="460064"/>
    <x v="0"/>
    <n v="437060.8"/>
    <n v="295113.61"/>
    <n v="141947.19"/>
    <n v="32.479999999999997"/>
    <x v="4"/>
  </r>
  <r>
    <n v="1145"/>
    <s v="13-Feb-2024"/>
    <x v="1"/>
    <x v="1"/>
    <x v="0"/>
    <x v="0"/>
    <s v="Condiments"/>
    <n v="65"/>
    <n v="93"/>
    <n v="6045"/>
    <x v="0"/>
    <n v="5742.75"/>
    <n v="3314.85"/>
    <n v="2427.9"/>
    <n v="42.28"/>
    <x v="0"/>
  </r>
  <r>
    <n v="1107"/>
    <s v="13-Feb-2024"/>
    <x v="1"/>
    <x v="1"/>
    <x v="1"/>
    <x v="3"/>
    <s v="Jeans"/>
    <n v="111"/>
    <n v="1120"/>
    <n v="124320"/>
    <x v="3"/>
    <n v="124320"/>
    <n v="82880.259999999995"/>
    <n v="41439.74"/>
    <n v="33.33"/>
    <x v="7"/>
  </r>
  <r>
    <n v="1326"/>
    <s v="08-Apr-2024"/>
    <x v="7"/>
    <x v="3"/>
    <x v="0"/>
    <x v="1"/>
    <s v="Laptop"/>
    <n v="139"/>
    <n v="11114"/>
    <n v="1544846"/>
    <x v="4"/>
    <n v="1390361.4"/>
    <n v="872100.05"/>
    <n v="518261.35"/>
    <n v="37.28"/>
    <x v="1"/>
  </r>
  <r>
    <n v="1376"/>
    <s v="08-Apr-2024"/>
    <x v="7"/>
    <x v="3"/>
    <x v="3"/>
    <x v="1"/>
    <s v="Laptop"/>
    <n v="48"/>
    <n v="11121"/>
    <n v="533808"/>
    <x v="3"/>
    <n v="533808"/>
    <n v="330025.09000000003"/>
    <n v="203782.91"/>
    <n v="38.18"/>
    <x v="3"/>
  </r>
  <r>
    <n v="1721"/>
    <s v="23-Aug-2024"/>
    <x v="2"/>
    <x v="0"/>
    <x v="1"/>
    <x v="4"/>
    <s v="Cricket Bat"/>
    <n v="169"/>
    <n v="1173"/>
    <n v="198237"/>
    <x v="4"/>
    <n v="178413.3"/>
    <n v="123974.94"/>
    <n v="54438.36"/>
    <n v="30.51"/>
    <x v="4"/>
  </r>
  <r>
    <n v="1934"/>
    <s v="27-Oct-2024"/>
    <x v="3"/>
    <x v="2"/>
    <x v="0"/>
    <x v="3"/>
    <s v="Dresses"/>
    <n v="26"/>
    <n v="1413"/>
    <n v="36738"/>
    <x v="0"/>
    <n v="34901.1"/>
    <n v="20262.54"/>
    <n v="14638.56"/>
    <n v="41.94"/>
    <x v="6"/>
  </r>
  <r>
    <n v="2125"/>
    <s v="15-Dec-2024"/>
    <x v="4"/>
    <x v="2"/>
    <x v="1"/>
    <x v="4"/>
    <s v="Cycling Gear"/>
    <n v="105"/>
    <n v="3172"/>
    <n v="333060"/>
    <x v="3"/>
    <n v="333060"/>
    <n v="197201.7"/>
    <n v="135858.29999999999"/>
    <n v="40.79"/>
    <x v="1"/>
  </r>
  <r>
    <n v="1652"/>
    <s v="23-Jul-2024"/>
    <x v="0"/>
    <x v="0"/>
    <x v="2"/>
    <x v="1"/>
    <s v="Smartphone"/>
    <n v="98"/>
    <n v="7511"/>
    <n v="736078"/>
    <x v="3"/>
    <n v="736078"/>
    <n v="500624.8"/>
    <n v="235453.2"/>
    <n v="31.99"/>
    <x v="0"/>
  </r>
  <r>
    <n v="1833"/>
    <s v="26-Sep-2024"/>
    <x v="9"/>
    <x v="0"/>
    <x v="0"/>
    <x v="3"/>
    <s v="Jackets"/>
    <n v="67"/>
    <n v="1960"/>
    <n v="131320"/>
    <x v="2"/>
    <n v="105056"/>
    <n v="60615.57"/>
    <n v="44440.43"/>
    <n v="42.3"/>
    <x v="7"/>
  </r>
  <r>
    <n v="1240"/>
    <s v="08-Mar-2024"/>
    <x v="5"/>
    <x v="1"/>
    <x v="0"/>
    <x v="2"/>
    <s v="Office Chair"/>
    <n v="99"/>
    <n v="4722"/>
    <n v="467478"/>
    <x v="3"/>
    <n v="467478"/>
    <n v="262468.75"/>
    <n v="205009.25"/>
    <n v="43.85"/>
    <x v="1"/>
  </r>
  <r>
    <n v="1424"/>
    <s v="26-May-2024"/>
    <x v="6"/>
    <x v="3"/>
    <x v="1"/>
    <x v="4"/>
    <s v="Dumbbells"/>
    <n v="145"/>
    <n v="1907"/>
    <n v="276515"/>
    <x v="1"/>
    <n v="235037.75"/>
    <n v="132056.64000000001"/>
    <n v="102981.11"/>
    <n v="43.81"/>
    <x v="0"/>
  </r>
  <r>
    <n v="2190"/>
    <s v="15-Dec-2024"/>
    <x v="4"/>
    <x v="2"/>
    <x v="3"/>
    <x v="2"/>
    <s v="Office Chair"/>
    <n v="191"/>
    <n v="5185"/>
    <n v="990335"/>
    <x v="0"/>
    <n v="940818.25"/>
    <n v="555759.06999999995"/>
    <n v="385059.18"/>
    <n v="40.93"/>
    <x v="3"/>
  </r>
  <r>
    <n v="1460"/>
    <s v="26-May-2024"/>
    <x v="6"/>
    <x v="3"/>
    <x v="2"/>
    <x v="3"/>
    <s v="Shoes"/>
    <n v="37"/>
    <n v="1709"/>
    <n v="63233"/>
    <x v="4"/>
    <n v="56909.7"/>
    <n v="32720.28"/>
    <n v="24189.42"/>
    <n v="42.5"/>
    <x v="4"/>
  </r>
  <r>
    <n v="1113"/>
    <s v="13-Feb-2024"/>
    <x v="1"/>
    <x v="1"/>
    <x v="1"/>
    <x v="2"/>
    <s v="Wardrobe"/>
    <n v="95"/>
    <n v="14920"/>
    <n v="1417400"/>
    <x v="3"/>
    <n v="1417400"/>
    <n v="872158.92"/>
    <n v="545241.07999999996"/>
    <n v="38.47"/>
    <x v="6"/>
  </r>
  <r>
    <n v="1683"/>
    <s v="23-Jul-2024"/>
    <x v="0"/>
    <x v="0"/>
    <x v="3"/>
    <x v="3"/>
    <s v="Jackets"/>
    <n v="63"/>
    <n v="1954"/>
    <n v="123102"/>
    <x v="2"/>
    <n v="98481.600000000006"/>
    <n v="65981.179999999993"/>
    <n v="32500.42"/>
    <n v="33"/>
    <x v="7"/>
  </r>
  <r>
    <n v="1552"/>
    <s v="07-Jun-2024"/>
    <x v="11"/>
    <x v="3"/>
    <x v="2"/>
    <x v="1"/>
    <s v="Smartphone"/>
    <n v="58"/>
    <n v="7618"/>
    <n v="441844"/>
    <x v="4"/>
    <n v="397659.6"/>
    <n v="273950.2"/>
    <n v="123709.4"/>
    <n v="31.11"/>
    <x v="0"/>
  </r>
  <r>
    <n v="2150"/>
    <s v="15-Dec-2024"/>
    <x v="4"/>
    <x v="2"/>
    <x v="0"/>
    <x v="4"/>
    <s v="Cycling Gear"/>
    <n v="48"/>
    <n v="3343"/>
    <n v="160464"/>
    <x v="3"/>
    <n v="160464"/>
    <n v="100201.63"/>
    <n v="60262.37"/>
    <n v="37.56"/>
    <x v="5"/>
  </r>
  <r>
    <n v="1177"/>
    <s v="13-Feb-2024"/>
    <x v="1"/>
    <x v="1"/>
    <x v="3"/>
    <x v="1"/>
    <s v="Smartphone"/>
    <n v="93"/>
    <n v="7931"/>
    <n v="737583"/>
    <x v="0"/>
    <n v="700703.85"/>
    <n v="406325.94"/>
    <n v="294377.90999999997"/>
    <n v="42.01"/>
    <x v="0"/>
  </r>
  <r>
    <n v="1965"/>
    <s v="27-Oct-2024"/>
    <x v="3"/>
    <x v="2"/>
    <x v="2"/>
    <x v="2"/>
    <s v="Office Chair"/>
    <n v="56"/>
    <n v="4940"/>
    <n v="276640"/>
    <x v="0"/>
    <n v="262808"/>
    <n v="175043.68"/>
    <n v="87764.32"/>
    <n v="33.39"/>
    <x v="6"/>
  </r>
  <r>
    <n v="1542"/>
    <s v="07-Jun-2024"/>
    <x v="11"/>
    <x v="3"/>
    <x v="0"/>
    <x v="0"/>
    <s v="Beverages"/>
    <n v="150"/>
    <n v="73"/>
    <n v="10950"/>
    <x v="2"/>
    <n v="8760"/>
    <n v="5955.97"/>
    <n v="2804.03"/>
    <n v="32.01"/>
    <x v="6"/>
  </r>
  <r>
    <n v="2156"/>
    <s v="15-Dec-2024"/>
    <x v="4"/>
    <x v="2"/>
    <x v="2"/>
    <x v="3"/>
    <s v="T-Shirts"/>
    <n v="77"/>
    <n v="487"/>
    <n v="37499"/>
    <x v="0"/>
    <n v="35624.050000000003"/>
    <n v="23706.47"/>
    <n v="11917.58"/>
    <n v="33.450000000000003"/>
    <x v="4"/>
  </r>
  <r>
    <n v="2015"/>
    <s v="03-Nov-2024"/>
    <x v="10"/>
    <x v="2"/>
    <x v="1"/>
    <x v="2"/>
    <s v="Office Chair"/>
    <n v="140"/>
    <n v="4771"/>
    <n v="667940"/>
    <x v="0"/>
    <n v="634543"/>
    <n v="403640.7"/>
    <n v="230902.3"/>
    <n v="36.39"/>
    <x v="7"/>
  </r>
  <r>
    <n v="1375"/>
    <s v="08-Apr-2024"/>
    <x v="7"/>
    <x v="3"/>
    <x v="2"/>
    <x v="4"/>
    <s v="Cycling Gear"/>
    <n v="115"/>
    <n v="3597"/>
    <n v="413655"/>
    <x v="0"/>
    <n v="392972.25"/>
    <n v="237799.92"/>
    <n v="155172.32999999999"/>
    <n v="39.49"/>
    <x v="5"/>
  </r>
  <r>
    <n v="1768"/>
    <s v="23-Aug-2024"/>
    <x v="2"/>
    <x v="0"/>
    <x v="2"/>
    <x v="0"/>
    <s v="Dairy Products"/>
    <n v="133"/>
    <n v="120"/>
    <n v="15960"/>
    <x v="4"/>
    <n v="14364"/>
    <n v="7987.29"/>
    <n v="6376.71"/>
    <n v="44.39"/>
    <x v="2"/>
  </r>
  <r>
    <n v="1522"/>
    <s v="07-Jun-2024"/>
    <x v="11"/>
    <x v="3"/>
    <x v="1"/>
    <x v="4"/>
    <s v="Football"/>
    <n v="85"/>
    <n v="641"/>
    <n v="54485"/>
    <x v="1"/>
    <n v="46312.25"/>
    <n v="28010.2"/>
    <n v="18302.05"/>
    <n v="39.520000000000003"/>
    <x v="7"/>
  </r>
  <r>
    <n v="1854"/>
    <s v="26-Sep-2024"/>
    <x v="9"/>
    <x v="0"/>
    <x v="2"/>
    <x v="1"/>
    <s v="Headphones"/>
    <n v="26"/>
    <n v="826"/>
    <n v="21476"/>
    <x v="4"/>
    <n v="19328.400000000001"/>
    <n v="13136.28"/>
    <n v="6192.12"/>
    <n v="32.04"/>
    <x v="2"/>
  </r>
  <r>
    <n v="1319"/>
    <s v="08-Apr-2024"/>
    <x v="7"/>
    <x v="3"/>
    <x v="1"/>
    <x v="0"/>
    <s v="Frozen Foods"/>
    <n v="46"/>
    <n v="154"/>
    <n v="7084"/>
    <x v="4"/>
    <n v="6375.6"/>
    <n v="4312.33"/>
    <n v="2063.27"/>
    <n v="32.36"/>
    <x v="4"/>
  </r>
  <r>
    <n v="1523"/>
    <s v="07-Jun-2024"/>
    <x v="11"/>
    <x v="3"/>
    <x v="1"/>
    <x v="4"/>
    <s v="Yoga Mat"/>
    <n v="144"/>
    <n v="873"/>
    <n v="125712"/>
    <x v="3"/>
    <n v="125712"/>
    <n v="69456.31"/>
    <n v="56255.69"/>
    <n v="44.75"/>
    <x v="1"/>
  </r>
  <r>
    <n v="1895"/>
    <s v="26-Sep-2024"/>
    <x v="9"/>
    <x v="0"/>
    <x v="3"/>
    <x v="0"/>
    <s v="Condiments"/>
    <n v="36"/>
    <n v="90"/>
    <n v="3240"/>
    <x v="3"/>
    <n v="3240"/>
    <n v="1803.28"/>
    <n v="1436.72"/>
    <n v="44.34"/>
    <x v="7"/>
  </r>
  <r>
    <n v="1386"/>
    <s v="08-Apr-2024"/>
    <x v="7"/>
    <x v="3"/>
    <x v="3"/>
    <x v="2"/>
    <s v="Sofa"/>
    <n v="148"/>
    <n v="17899"/>
    <n v="2649052"/>
    <x v="0"/>
    <n v="2516599.4"/>
    <n v="1538472.81"/>
    <n v="978126.59"/>
    <n v="38.869999999999997"/>
    <x v="7"/>
  </r>
  <r>
    <n v="1579"/>
    <s v="07-Jun-2024"/>
    <x v="11"/>
    <x v="3"/>
    <x v="3"/>
    <x v="1"/>
    <s v="Headphones"/>
    <n v="141"/>
    <n v="850"/>
    <n v="119850"/>
    <x v="2"/>
    <n v="95880"/>
    <n v="60530.84"/>
    <n v="35349.160000000003"/>
    <n v="36.869999999999997"/>
    <x v="7"/>
  </r>
  <r>
    <n v="1937"/>
    <s v="27-Oct-2024"/>
    <x v="3"/>
    <x v="2"/>
    <x v="0"/>
    <x v="2"/>
    <s v="Dining Table"/>
    <n v="64"/>
    <n v="12694"/>
    <n v="812416"/>
    <x v="0"/>
    <n v="771795.2"/>
    <n v="430633"/>
    <n v="341162.2"/>
    <n v="44.2"/>
    <x v="4"/>
  </r>
  <r>
    <n v="2066"/>
    <s v="03-Nov-2024"/>
    <x v="10"/>
    <x v="2"/>
    <x v="2"/>
    <x v="0"/>
    <s v="Organic Snacks"/>
    <n v="86"/>
    <n v="210"/>
    <n v="18060"/>
    <x v="0"/>
    <n v="17157"/>
    <n v="10413.790000000001"/>
    <n v="6743.21"/>
    <n v="39.299999999999997"/>
    <x v="0"/>
  </r>
  <r>
    <n v="1033"/>
    <s v="21-Jan-2024"/>
    <x v="8"/>
    <x v="1"/>
    <x v="0"/>
    <x v="3"/>
    <s v="Jackets"/>
    <n v="73"/>
    <n v="1803"/>
    <n v="131619"/>
    <x v="3"/>
    <n v="131619"/>
    <n v="76910.41"/>
    <n v="54708.59"/>
    <n v="41.57"/>
    <x v="4"/>
  </r>
  <r>
    <n v="1471"/>
    <s v="26-May-2024"/>
    <x v="6"/>
    <x v="3"/>
    <x v="2"/>
    <x v="4"/>
    <s v="Cricket Bat"/>
    <n v="112"/>
    <n v="1125"/>
    <n v="126000"/>
    <x v="1"/>
    <n v="107100"/>
    <n v="65260.03"/>
    <n v="41839.97"/>
    <n v="39.07"/>
    <x v="5"/>
  </r>
  <r>
    <n v="1803"/>
    <s v="26-Sep-2024"/>
    <x v="9"/>
    <x v="0"/>
    <x v="1"/>
    <x v="1"/>
    <s v="Tablet"/>
    <n v="143"/>
    <n v="5323"/>
    <n v="761189"/>
    <x v="2"/>
    <n v="608951.19999999995"/>
    <n v="419493.86"/>
    <n v="189457.34"/>
    <n v="31.11"/>
    <x v="0"/>
  </r>
  <r>
    <n v="1296"/>
    <s v="08-Mar-2024"/>
    <x v="5"/>
    <x v="1"/>
    <x v="3"/>
    <x v="4"/>
    <s v="Cricket Bat"/>
    <n v="30"/>
    <n v="1159"/>
    <n v="34770"/>
    <x v="0"/>
    <n v="33031.5"/>
    <n v="19685.93"/>
    <n v="13345.57"/>
    <n v="40.4"/>
    <x v="0"/>
  </r>
  <r>
    <n v="1385"/>
    <s v="08-Apr-2024"/>
    <x v="7"/>
    <x v="3"/>
    <x v="3"/>
    <x v="3"/>
    <s v="Shoes"/>
    <n v="75"/>
    <n v="1872"/>
    <n v="140400"/>
    <x v="3"/>
    <n v="140400"/>
    <n v="96902.31"/>
    <n v="43497.69"/>
    <n v="30.98"/>
    <x v="1"/>
  </r>
  <r>
    <n v="1527"/>
    <s v="07-Jun-2024"/>
    <x v="11"/>
    <x v="3"/>
    <x v="0"/>
    <x v="1"/>
    <s v="Smartphone"/>
    <n v="31"/>
    <n v="8673"/>
    <n v="268863"/>
    <x v="3"/>
    <n v="268863"/>
    <n v="169506.97"/>
    <n v="99356.03"/>
    <n v="36.950000000000003"/>
    <x v="0"/>
  </r>
  <r>
    <n v="1857"/>
    <s v="26-Sep-2024"/>
    <x v="9"/>
    <x v="0"/>
    <x v="2"/>
    <x v="3"/>
    <s v="Jeans"/>
    <n v="112"/>
    <n v="1233"/>
    <n v="138096"/>
    <x v="1"/>
    <n v="117381.6"/>
    <n v="73776.56"/>
    <n v="43605.04"/>
    <n v="37.15"/>
    <x v="6"/>
  </r>
  <r>
    <n v="1032"/>
    <s v="21-Jan-2024"/>
    <x v="8"/>
    <x v="1"/>
    <x v="0"/>
    <x v="3"/>
    <s v="Jeans"/>
    <n v="27"/>
    <n v="1134"/>
    <n v="30618"/>
    <x v="4"/>
    <n v="27556.2"/>
    <n v="15242.85"/>
    <n v="12313.35"/>
    <n v="44.68"/>
    <x v="5"/>
  </r>
  <r>
    <n v="2112"/>
    <s v="15-Dec-2024"/>
    <x v="4"/>
    <x v="2"/>
    <x v="1"/>
    <x v="2"/>
    <s v="Dining Table"/>
    <n v="164"/>
    <n v="11011"/>
    <n v="1805804"/>
    <x v="0"/>
    <n v="1715513.8"/>
    <n v="1033044.73"/>
    <n v="682469.07"/>
    <n v="39.78"/>
    <x v="4"/>
  </r>
  <r>
    <n v="1622"/>
    <s v="23-Jul-2024"/>
    <x v="0"/>
    <x v="0"/>
    <x v="1"/>
    <x v="4"/>
    <s v="Football"/>
    <n v="138"/>
    <n v="546"/>
    <n v="75348"/>
    <x v="2"/>
    <n v="60278.400000000001"/>
    <n v="41479.089999999997"/>
    <n v="18799.310000000001"/>
    <n v="31.19"/>
    <x v="3"/>
  </r>
  <r>
    <n v="1667"/>
    <s v="23-Jul-2024"/>
    <x v="0"/>
    <x v="0"/>
    <x v="2"/>
    <x v="0"/>
    <s v="Beverages"/>
    <n v="145"/>
    <n v="82"/>
    <n v="11890"/>
    <x v="3"/>
    <n v="11890"/>
    <n v="7720.12"/>
    <n v="4169.88"/>
    <n v="35.07"/>
    <x v="4"/>
  </r>
  <r>
    <n v="1314"/>
    <s v="08-Apr-2024"/>
    <x v="7"/>
    <x v="3"/>
    <x v="1"/>
    <x v="2"/>
    <s v="Bed Frame"/>
    <n v="113"/>
    <n v="9900"/>
    <n v="1118700"/>
    <x v="4"/>
    <n v="1006830"/>
    <n v="573138.17000000004"/>
    <n v="433691.83"/>
    <n v="43.07"/>
    <x v="7"/>
  </r>
  <r>
    <n v="2143"/>
    <s v="15-Dec-2024"/>
    <x v="4"/>
    <x v="2"/>
    <x v="0"/>
    <x v="0"/>
    <s v="Dairy Products"/>
    <n v="96"/>
    <n v="112"/>
    <n v="10752"/>
    <x v="3"/>
    <n v="10752"/>
    <n v="6817.99"/>
    <n v="3934.01"/>
    <n v="36.590000000000003"/>
    <x v="5"/>
  </r>
  <r>
    <n v="1495"/>
    <s v="26-May-2024"/>
    <x v="6"/>
    <x v="3"/>
    <x v="3"/>
    <x v="0"/>
    <s v="Condiments"/>
    <n v="55"/>
    <n v="94"/>
    <n v="5170"/>
    <x v="0"/>
    <n v="4911.5"/>
    <n v="3262.32"/>
    <n v="1649.18"/>
    <n v="33.58"/>
    <x v="0"/>
  </r>
  <r>
    <n v="1541"/>
    <s v="07-Jun-2024"/>
    <x v="11"/>
    <x v="3"/>
    <x v="0"/>
    <x v="0"/>
    <s v="Organic Snacks"/>
    <n v="37"/>
    <n v="207"/>
    <n v="7659"/>
    <x v="3"/>
    <n v="7659"/>
    <n v="4418.49"/>
    <n v="3240.51"/>
    <n v="42.31"/>
    <x v="4"/>
  </r>
  <r>
    <n v="2185"/>
    <s v="15-Dec-2024"/>
    <x v="4"/>
    <x v="2"/>
    <x v="3"/>
    <x v="3"/>
    <s v="Shoes"/>
    <n v="102"/>
    <n v="1884"/>
    <n v="192168"/>
    <x v="3"/>
    <n v="192168"/>
    <n v="130057.77"/>
    <n v="62110.23"/>
    <n v="32.32"/>
    <x v="7"/>
  </r>
  <r>
    <n v="2089"/>
    <s v="03-Nov-2024"/>
    <x v="10"/>
    <x v="2"/>
    <x v="3"/>
    <x v="2"/>
    <s v="Bed Frame"/>
    <n v="88"/>
    <n v="9606"/>
    <n v="845328"/>
    <x v="3"/>
    <n v="845328"/>
    <n v="545102.05000000005"/>
    <n v="300225.95"/>
    <n v="35.520000000000003"/>
    <x v="1"/>
  </r>
  <r>
    <n v="1019"/>
    <s v="21-Jan-2024"/>
    <x v="8"/>
    <x v="1"/>
    <x v="1"/>
    <x v="0"/>
    <s v="Frozen Foods"/>
    <n v="75"/>
    <n v="138"/>
    <n v="10350"/>
    <x v="3"/>
    <n v="10350"/>
    <n v="7029.36"/>
    <n v="3320.64"/>
    <n v="32.08"/>
    <x v="7"/>
  </r>
  <r>
    <n v="1903"/>
    <s v="27-Oct-2024"/>
    <x v="3"/>
    <x v="2"/>
    <x v="1"/>
    <x v="1"/>
    <s v="Tablet"/>
    <n v="117"/>
    <n v="4689"/>
    <n v="548613"/>
    <x v="0"/>
    <n v="521182.35"/>
    <n v="331213.55"/>
    <n v="189968.8"/>
    <n v="36.450000000000003"/>
    <x v="7"/>
  </r>
  <r>
    <n v="1284"/>
    <s v="08-Mar-2024"/>
    <x v="5"/>
    <x v="1"/>
    <x v="3"/>
    <x v="3"/>
    <s v="Dresses"/>
    <n v="59"/>
    <n v="1370"/>
    <n v="80830"/>
    <x v="0"/>
    <n v="76788.5"/>
    <n v="50675.89"/>
    <n v="26112.61"/>
    <n v="34.01"/>
    <x v="1"/>
  </r>
  <r>
    <n v="1992"/>
    <s v="27-Oct-2024"/>
    <x v="3"/>
    <x v="2"/>
    <x v="3"/>
    <x v="0"/>
    <s v="Beverages"/>
    <n v="121"/>
    <n v="74"/>
    <n v="8954"/>
    <x v="0"/>
    <n v="8506.2999999999993"/>
    <n v="5698.67"/>
    <n v="2807.63"/>
    <n v="33.01"/>
    <x v="0"/>
  </r>
  <r>
    <n v="1297"/>
    <s v="08-Mar-2024"/>
    <x v="5"/>
    <x v="1"/>
    <x v="3"/>
    <x v="4"/>
    <s v="Football"/>
    <n v="37"/>
    <n v="593"/>
    <n v="21941"/>
    <x v="2"/>
    <n v="17552.8"/>
    <n v="9765.56"/>
    <n v="7787.24"/>
    <n v="44.36"/>
    <x v="3"/>
  </r>
  <r>
    <n v="1254"/>
    <s v="08-Mar-2024"/>
    <x v="5"/>
    <x v="1"/>
    <x v="2"/>
    <x v="1"/>
    <s v="Headphones"/>
    <n v="66"/>
    <n v="844"/>
    <n v="55704"/>
    <x v="3"/>
    <n v="55704"/>
    <n v="37231.660000000003"/>
    <n v="18472.34"/>
    <n v="33.159999999999997"/>
    <x v="3"/>
  </r>
  <r>
    <n v="1213"/>
    <s v="08-Mar-2024"/>
    <x v="5"/>
    <x v="1"/>
    <x v="1"/>
    <x v="2"/>
    <s v="Wardrobe"/>
    <n v="32"/>
    <n v="14565"/>
    <n v="466080"/>
    <x v="0"/>
    <n v="442776"/>
    <n v="272090.5"/>
    <n v="170685.5"/>
    <n v="38.549999999999997"/>
    <x v="5"/>
  </r>
  <r>
    <n v="1136"/>
    <s v="13-Feb-2024"/>
    <x v="1"/>
    <x v="1"/>
    <x v="0"/>
    <x v="2"/>
    <s v="Sofa"/>
    <n v="74"/>
    <n v="16764"/>
    <n v="1240536"/>
    <x v="1"/>
    <n v="1054455.6000000001"/>
    <n v="651206"/>
    <n v="403249.6"/>
    <n v="38.24"/>
    <x v="2"/>
  </r>
  <r>
    <n v="1323"/>
    <s v="08-Apr-2024"/>
    <x v="7"/>
    <x v="3"/>
    <x v="1"/>
    <x v="4"/>
    <s v="Yoga Mat"/>
    <n v="91"/>
    <n v="849"/>
    <n v="77259"/>
    <x v="1"/>
    <n v="65670.149999999994"/>
    <n v="39048.46"/>
    <n v="26621.69"/>
    <n v="40.54"/>
    <x v="1"/>
  </r>
  <r>
    <n v="1053"/>
    <s v="21-Jan-2024"/>
    <x v="8"/>
    <x v="1"/>
    <x v="2"/>
    <x v="1"/>
    <s v="Tablet"/>
    <n v="57"/>
    <n v="4658"/>
    <n v="265506"/>
    <x v="0"/>
    <n v="252230.7"/>
    <n v="161869.47"/>
    <n v="90361.23"/>
    <n v="35.82"/>
    <x v="4"/>
  </r>
  <r>
    <n v="1601"/>
    <s v="23-Jul-2024"/>
    <x v="0"/>
    <x v="0"/>
    <x v="1"/>
    <x v="1"/>
    <s v="Laptop"/>
    <n v="116"/>
    <n v="13021"/>
    <n v="1510436"/>
    <x v="0"/>
    <n v="1434914.2"/>
    <n v="931388"/>
    <n v="503526.2"/>
    <n v="35.090000000000003"/>
    <x v="6"/>
  </r>
  <r>
    <n v="1171"/>
    <s v="13-Feb-2024"/>
    <x v="1"/>
    <x v="1"/>
    <x v="2"/>
    <x v="4"/>
    <s v="Cricket Bat"/>
    <n v="122"/>
    <n v="1091"/>
    <n v="133102"/>
    <x v="3"/>
    <n v="133102"/>
    <n v="79063.28"/>
    <n v="54038.720000000001"/>
    <n v="40.6"/>
    <x v="3"/>
  </r>
  <r>
    <n v="1591"/>
    <s v="07-Jun-2024"/>
    <x v="11"/>
    <x v="3"/>
    <x v="3"/>
    <x v="0"/>
    <s v="Organic Snacks"/>
    <n v="46"/>
    <n v="215"/>
    <n v="9890"/>
    <x v="3"/>
    <n v="9890"/>
    <n v="6658.44"/>
    <n v="3231.56"/>
    <n v="32.68"/>
    <x v="3"/>
  </r>
  <r>
    <n v="2092"/>
    <s v="03-Nov-2024"/>
    <x v="10"/>
    <x v="2"/>
    <x v="3"/>
    <x v="0"/>
    <s v="Beverages"/>
    <n v="204"/>
    <n v="83"/>
    <n v="16932"/>
    <x v="0"/>
    <n v="16085.4"/>
    <n v="10526"/>
    <n v="5559.4"/>
    <n v="34.56"/>
    <x v="1"/>
  </r>
  <r>
    <n v="1486"/>
    <s v="26-May-2024"/>
    <x v="6"/>
    <x v="3"/>
    <x v="3"/>
    <x v="2"/>
    <s v="Sofa"/>
    <n v="99"/>
    <n v="17164"/>
    <n v="1699236"/>
    <x v="4"/>
    <n v="1529312.4"/>
    <n v="965464.87"/>
    <n v="563847.53"/>
    <n v="36.869999999999997"/>
    <x v="4"/>
  </r>
  <r>
    <n v="1151"/>
    <s v="13-Feb-2024"/>
    <x v="1"/>
    <x v="1"/>
    <x v="2"/>
    <x v="1"/>
    <s v="Laptop"/>
    <n v="90"/>
    <n v="11996"/>
    <n v="1079640"/>
    <x v="2"/>
    <n v="863712"/>
    <n v="573503.54"/>
    <n v="290208.46000000002"/>
    <n v="33.6"/>
    <x v="5"/>
  </r>
  <r>
    <n v="1104"/>
    <s v="13-Feb-2024"/>
    <x v="1"/>
    <x v="1"/>
    <x v="1"/>
    <x v="1"/>
    <s v="Headphones"/>
    <n v="45"/>
    <n v="731"/>
    <n v="32895"/>
    <x v="3"/>
    <n v="32895"/>
    <n v="21813.83"/>
    <n v="11081.17"/>
    <n v="33.69"/>
    <x v="5"/>
  </r>
  <r>
    <n v="2076"/>
    <s v="03-Nov-2024"/>
    <x v="10"/>
    <x v="2"/>
    <x v="3"/>
    <x v="1"/>
    <s v="Laptop"/>
    <n v="96"/>
    <n v="12633"/>
    <n v="1212768"/>
    <x v="3"/>
    <n v="1212768"/>
    <n v="830018.72"/>
    <n v="382749.28"/>
    <n v="31.56"/>
    <x v="7"/>
  </r>
  <r>
    <n v="1705"/>
    <s v="23-Aug-2024"/>
    <x v="2"/>
    <x v="0"/>
    <x v="1"/>
    <x v="1"/>
    <s v="Smart TV"/>
    <n v="96"/>
    <n v="15268"/>
    <n v="1465728"/>
    <x v="3"/>
    <n v="1465728"/>
    <n v="1018062.74"/>
    <n v="447665.26"/>
    <n v="30.54"/>
    <x v="4"/>
  </r>
  <r>
    <n v="1816"/>
    <s v="26-Sep-2024"/>
    <x v="9"/>
    <x v="0"/>
    <x v="1"/>
    <x v="0"/>
    <s v="Organic Snacks"/>
    <n v="167"/>
    <n v="198"/>
    <n v="33066"/>
    <x v="2"/>
    <n v="26452.799999999999"/>
    <n v="18106.37"/>
    <n v="8346.43"/>
    <n v="31.55"/>
    <x v="4"/>
  </r>
  <r>
    <n v="1706"/>
    <s v="23-Aug-2024"/>
    <x v="2"/>
    <x v="0"/>
    <x v="1"/>
    <x v="3"/>
    <s v="T-Shirts"/>
    <n v="107"/>
    <n v="455"/>
    <n v="48685"/>
    <x v="1"/>
    <n v="41382.25"/>
    <n v="27967.05"/>
    <n v="13415.2"/>
    <n v="32.42"/>
    <x v="2"/>
  </r>
  <r>
    <n v="1836"/>
    <s v="26-Sep-2024"/>
    <x v="9"/>
    <x v="0"/>
    <x v="0"/>
    <x v="2"/>
    <s v="Sofa"/>
    <n v="81"/>
    <n v="16235"/>
    <n v="1315035"/>
    <x v="1"/>
    <n v="1117779.75"/>
    <n v="698544.91"/>
    <n v="419234.84"/>
    <n v="37.51"/>
    <x v="3"/>
  </r>
  <r>
    <n v="1249"/>
    <s v="08-Mar-2024"/>
    <x v="5"/>
    <x v="1"/>
    <x v="0"/>
    <x v="4"/>
    <s v="Dumbbells"/>
    <n v="68"/>
    <n v="2022"/>
    <n v="137496"/>
    <x v="3"/>
    <n v="137496"/>
    <n v="84898.29"/>
    <n v="52597.71"/>
    <n v="38.25"/>
    <x v="5"/>
  </r>
  <r>
    <n v="1228"/>
    <s v="08-Mar-2024"/>
    <x v="5"/>
    <x v="1"/>
    <x v="0"/>
    <x v="1"/>
    <s v="Tablet"/>
    <n v="115"/>
    <n v="4656"/>
    <n v="535440"/>
    <x v="3"/>
    <n v="535440"/>
    <n v="348622.47"/>
    <n v="186817.53"/>
    <n v="34.89"/>
    <x v="6"/>
  </r>
  <r>
    <n v="1360"/>
    <s v="08-Apr-2024"/>
    <x v="7"/>
    <x v="3"/>
    <x v="2"/>
    <x v="3"/>
    <s v="Shoes"/>
    <n v="34"/>
    <n v="1897"/>
    <n v="64498"/>
    <x v="3"/>
    <n v="64498"/>
    <n v="44805.33"/>
    <n v="19692.669999999998"/>
    <n v="30.53"/>
    <x v="7"/>
  </r>
  <r>
    <n v="2053"/>
    <s v="03-Nov-2024"/>
    <x v="10"/>
    <x v="2"/>
    <x v="2"/>
    <x v="1"/>
    <s v="Tablet"/>
    <n v="131"/>
    <n v="4511"/>
    <n v="590941"/>
    <x v="2"/>
    <n v="472752.8"/>
    <n v="296368.48"/>
    <n v="176384.32"/>
    <n v="37.31"/>
    <x v="2"/>
  </r>
  <r>
    <n v="1596"/>
    <s v="07-Jun-2024"/>
    <x v="11"/>
    <x v="3"/>
    <x v="3"/>
    <x v="4"/>
    <s v="Cricket Bat"/>
    <n v="45"/>
    <n v="1098"/>
    <n v="49410"/>
    <x v="3"/>
    <n v="49410"/>
    <n v="29361.22"/>
    <n v="20048.78"/>
    <n v="40.58"/>
    <x v="3"/>
  </r>
  <r>
    <n v="1834"/>
    <s v="26-Sep-2024"/>
    <x v="9"/>
    <x v="0"/>
    <x v="0"/>
    <x v="3"/>
    <s v="Dresses"/>
    <n v="146"/>
    <n v="1556"/>
    <n v="227176"/>
    <x v="3"/>
    <n v="227176"/>
    <n v="149509.6"/>
    <n v="77666.399999999994"/>
    <n v="34.19"/>
    <x v="5"/>
  </r>
  <r>
    <n v="1533"/>
    <s v="07-Jun-2024"/>
    <x v="11"/>
    <x v="3"/>
    <x v="0"/>
    <x v="3"/>
    <s v="Jackets"/>
    <n v="122"/>
    <n v="2149"/>
    <n v="262178"/>
    <x v="3"/>
    <n v="262178"/>
    <n v="174535.71"/>
    <n v="87642.29"/>
    <n v="33.43"/>
    <x v="4"/>
  </r>
  <r>
    <n v="1012"/>
    <s v="21-Jan-2024"/>
    <x v="8"/>
    <x v="1"/>
    <x v="1"/>
    <x v="2"/>
    <s v="Dining Table"/>
    <n v="87"/>
    <n v="11211"/>
    <n v="975357"/>
    <x v="0"/>
    <n v="926589.15"/>
    <n v="532335.07999999996"/>
    <n v="394254.07"/>
    <n v="42.55"/>
    <x v="0"/>
  </r>
  <r>
    <n v="1725"/>
    <s v="23-Aug-2024"/>
    <x v="2"/>
    <x v="0"/>
    <x v="1"/>
    <x v="4"/>
    <s v="Cycling Gear"/>
    <n v="139"/>
    <n v="3234"/>
    <n v="449526"/>
    <x v="3"/>
    <n v="449526"/>
    <n v="276133.11"/>
    <n v="173392.89"/>
    <n v="38.57"/>
    <x v="6"/>
  </r>
  <r>
    <n v="1872"/>
    <s v="26-Sep-2024"/>
    <x v="9"/>
    <x v="0"/>
    <x v="2"/>
    <x v="4"/>
    <s v="Football"/>
    <n v="121"/>
    <n v="544"/>
    <n v="65824"/>
    <x v="3"/>
    <n v="65824"/>
    <n v="44532.04"/>
    <n v="21291.96"/>
    <n v="32.35"/>
    <x v="7"/>
  </r>
  <r>
    <n v="1076"/>
    <s v="21-Jan-2024"/>
    <x v="8"/>
    <x v="1"/>
    <x v="3"/>
    <x v="1"/>
    <s v="Laptop"/>
    <n v="90"/>
    <n v="11521"/>
    <n v="1036890"/>
    <x v="0"/>
    <n v="985045.5"/>
    <n v="640313"/>
    <n v="344732.5"/>
    <n v="35"/>
    <x v="3"/>
  </r>
  <r>
    <n v="1489"/>
    <s v="26-May-2024"/>
    <x v="6"/>
    <x v="3"/>
    <x v="3"/>
    <x v="2"/>
    <s v="Bed Frame"/>
    <n v="82"/>
    <n v="9697"/>
    <n v="795154"/>
    <x v="3"/>
    <n v="795154"/>
    <n v="489703.93"/>
    <n v="305450.07"/>
    <n v="38.409999999999997"/>
    <x v="1"/>
  </r>
  <r>
    <n v="1891"/>
    <s v="26-Sep-2024"/>
    <x v="9"/>
    <x v="0"/>
    <x v="3"/>
    <x v="0"/>
    <s v="Organic Snacks"/>
    <n v="82"/>
    <n v="213"/>
    <n v="17466"/>
    <x v="4"/>
    <n v="15719.4"/>
    <n v="9716.35"/>
    <n v="6003.05"/>
    <n v="38.19"/>
    <x v="0"/>
  </r>
  <r>
    <n v="2102"/>
    <s v="15-Dec-2024"/>
    <x v="4"/>
    <x v="2"/>
    <x v="1"/>
    <x v="1"/>
    <s v="Smartphone"/>
    <n v="57"/>
    <n v="8152"/>
    <n v="464664"/>
    <x v="0"/>
    <n v="441430.8"/>
    <n v="246965.75"/>
    <n v="194465.05"/>
    <n v="44.05"/>
    <x v="5"/>
  </r>
  <r>
    <n v="1406"/>
    <s v="26-May-2024"/>
    <x v="6"/>
    <x v="3"/>
    <x v="1"/>
    <x v="3"/>
    <s v="T-Shirts"/>
    <n v="103"/>
    <n v="533"/>
    <n v="54899"/>
    <x v="3"/>
    <n v="54899"/>
    <n v="32405.19"/>
    <n v="22493.81"/>
    <n v="40.97"/>
    <x v="4"/>
  </r>
  <r>
    <n v="1578"/>
    <s v="07-Jun-2024"/>
    <x v="11"/>
    <x v="3"/>
    <x v="3"/>
    <x v="1"/>
    <s v="Tablet"/>
    <n v="122"/>
    <n v="4852"/>
    <n v="591944"/>
    <x v="3"/>
    <n v="591944"/>
    <n v="375568.54"/>
    <n v="216375.46"/>
    <n v="36.549999999999997"/>
    <x v="5"/>
  </r>
  <r>
    <n v="2166"/>
    <s v="15-Dec-2024"/>
    <x v="4"/>
    <x v="2"/>
    <x v="2"/>
    <x v="0"/>
    <s v="Organic Snacks"/>
    <n v="170"/>
    <n v="185"/>
    <n v="31450"/>
    <x v="3"/>
    <n v="31450"/>
    <n v="19192.189999999999"/>
    <n v="12257.81"/>
    <n v="38.979999999999997"/>
    <x v="5"/>
  </r>
  <r>
    <n v="2051"/>
    <s v="03-Nov-2024"/>
    <x v="10"/>
    <x v="2"/>
    <x v="2"/>
    <x v="1"/>
    <s v="Laptop"/>
    <n v="118"/>
    <n v="10988"/>
    <n v="1296584"/>
    <x v="3"/>
    <n v="1296584"/>
    <n v="760815.65"/>
    <n v="535768.35"/>
    <n v="41.32"/>
    <x v="1"/>
  </r>
  <r>
    <n v="2044"/>
    <s v="03-Nov-2024"/>
    <x v="10"/>
    <x v="2"/>
    <x v="0"/>
    <x v="0"/>
    <s v="Frozen Foods"/>
    <n v="138"/>
    <n v="139"/>
    <n v="19182"/>
    <x v="2"/>
    <n v="15345.6"/>
    <n v="9954.52"/>
    <n v="5391.08"/>
    <n v="35.130000000000003"/>
    <x v="7"/>
  </r>
  <r>
    <n v="2177"/>
    <s v="15-Dec-2024"/>
    <x v="4"/>
    <x v="2"/>
    <x v="3"/>
    <x v="1"/>
    <s v="Smartphone"/>
    <n v="47"/>
    <n v="7855"/>
    <n v="369185"/>
    <x v="0"/>
    <n v="350725.75"/>
    <n v="214706.27"/>
    <n v="136019.48000000001"/>
    <n v="38.78"/>
    <x v="2"/>
  </r>
  <r>
    <n v="2085"/>
    <s v="03-Nov-2024"/>
    <x v="10"/>
    <x v="2"/>
    <x v="3"/>
    <x v="3"/>
    <s v="Shoes"/>
    <n v="55"/>
    <n v="1851"/>
    <n v="101805"/>
    <x v="3"/>
    <n v="101805"/>
    <n v="66141.78"/>
    <n v="35663.22"/>
    <n v="35.03"/>
    <x v="6"/>
  </r>
  <r>
    <n v="1996"/>
    <s v="27-Oct-2024"/>
    <x v="3"/>
    <x v="2"/>
    <x v="3"/>
    <x v="4"/>
    <s v="Cricket Bat"/>
    <n v="153"/>
    <n v="1127"/>
    <n v="172431"/>
    <x v="4"/>
    <n v="155187.9"/>
    <n v="106822.34"/>
    <n v="48365.56"/>
    <n v="31.17"/>
    <x v="2"/>
  </r>
  <r>
    <n v="1247"/>
    <s v="08-Mar-2024"/>
    <x v="5"/>
    <x v="1"/>
    <x v="0"/>
    <x v="4"/>
    <s v="Football"/>
    <n v="73"/>
    <n v="577"/>
    <n v="42121"/>
    <x v="2"/>
    <n v="33696.800000000003"/>
    <n v="18723.330000000002"/>
    <n v="14973.47"/>
    <n v="44.44"/>
    <x v="3"/>
  </r>
  <r>
    <n v="1108"/>
    <s v="13-Feb-2024"/>
    <x v="1"/>
    <x v="1"/>
    <x v="1"/>
    <x v="3"/>
    <s v="Jackets"/>
    <n v="135"/>
    <n v="1843"/>
    <n v="248805"/>
    <x v="3"/>
    <n v="248805"/>
    <n v="171509.52"/>
    <n v="77295.48"/>
    <n v="31.07"/>
    <x v="0"/>
  </r>
  <r>
    <n v="1014"/>
    <s v="21-Jan-2024"/>
    <x v="8"/>
    <x v="1"/>
    <x v="1"/>
    <x v="2"/>
    <s v="Bed Frame"/>
    <n v="43"/>
    <n v="9064"/>
    <n v="389752"/>
    <x v="4"/>
    <n v="350776.8"/>
    <n v="214035.14"/>
    <n v="136741.66"/>
    <n v="38.979999999999997"/>
    <x v="1"/>
  </r>
  <r>
    <n v="1593"/>
    <s v="07-Jun-2024"/>
    <x v="11"/>
    <x v="3"/>
    <x v="3"/>
    <x v="0"/>
    <s v="Dairy Products"/>
    <n v="58"/>
    <n v="111"/>
    <n v="6438"/>
    <x v="3"/>
    <n v="6438"/>
    <n v="3587.4"/>
    <n v="2850.6"/>
    <n v="44.28"/>
    <x v="2"/>
  </r>
  <r>
    <n v="1357"/>
    <s v="08-Apr-2024"/>
    <x v="7"/>
    <x v="3"/>
    <x v="2"/>
    <x v="3"/>
    <s v="Jeans"/>
    <n v="50"/>
    <n v="1279"/>
    <n v="63950"/>
    <x v="0"/>
    <n v="60752.5"/>
    <n v="41916.410000000003"/>
    <n v="18836.09"/>
    <n v="31"/>
    <x v="6"/>
  </r>
  <r>
    <n v="1918"/>
    <s v="27-Oct-2024"/>
    <x v="3"/>
    <x v="2"/>
    <x v="1"/>
    <x v="0"/>
    <s v="Dairy Products"/>
    <n v="184"/>
    <n v="116"/>
    <n v="21344"/>
    <x v="1"/>
    <n v="18142.400000000001"/>
    <n v="11111.83"/>
    <n v="7030.57"/>
    <n v="38.75"/>
    <x v="1"/>
  </r>
  <r>
    <n v="1695"/>
    <s v="23-Jul-2024"/>
    <x v="0"/>
    <x v="0"/>
    <x v="3"/>
    <x v="0"/>
    <s v="Condiments"/>
    <n v="89"/>
    <n v="83"/>
    <n v="7387"/>
    <x v="2"/>
    <n v="5909.6"/>
    <n v="3910.89"/>
    <n v="1998.71"/>
    <n v="33.82"/>
    <x v="4"/>
  </r>
  <r>
    <n v="1008"/>
    <s v="21-Jan-2024"/>
    <x v="8"/>
    <x v="1"/>
    <x v="1"/>
    <x v="3"/>
    <s v="Jackets"/>
    <n v="26"/>
    <n v="1917"/>
    <n v="49842"/>
    <x v="4"/>
    <n v="44857.8"/>
    <n v="28556.6"/>
    <n v="16301.2"/>
    <n v="36.340000000000003"/>
    <x v="1"/>
  </r>
  <r>
    <n v="1070"/>
    <s v="21-Jan-2024"/>
    <x v="8"/>
    <x v="1"/>
    <x v="2"/>
    <x v="0"/>
    <s v="Condiments"/>
    <n v="55"/>
    <n v="90"/>
    <n v="4950"/>
    <x v="4"/>
    <n v="4455"/>
    <n v="3077.9"/>
    <n v="1377.1"/>
    <n v="30.91"/>
    <x v="1"/>
  </r>
  <r>
    <n v="2171"/>
    <s v="15-Dec-2024"/>
    <x v="4"/>
    <x v="2"/>
    <x v="2"/>
    <x v="4"/>
    <s v="Cricket Bat"/>
    <n v="112"/>
    <n v="1252"/>
    <n v="140224"/>
    <x v="1"/>
    <n v="119190.39999999999"/>
    <n v="72163.17"/>
    <n v="47027.23"/>
    <n v="39.46"/>
    <x v="3"/>
  </r>
  <r>
    <n v="1620"/>
    <s v="23-Jul-2024"/>
    <x v="0"/>
    <x v="0"/>
    <x v="1"/>
    <x v="0"/>
    <s v="Condiments"/>
    <n v="88"/>
    <n v="90"/>
    <n v="7920"/>
    <x v="2"/>
    <n v="6336"/>
    <n v="3520.41"/>
    <n v="2815.59"/>
    <n v="44.44"/>
    <x v="6"/>
  </r>
  <r>
    <n v="2115"/>
    <s v="15-Dec-2024"/>
    <x v="4"/>
    <x v="2"/>
    <x v="1"/>
    <x v="2"/>
    <s v="Office Chair"/>
    <n v="57"/>
    <n v="4649"/>
    <n v="264993"/>
    <x v="2"/>
    <n v="211994.4"/>
    <n v="132417.47"/>
    <n v="79576.929999999993"/>
    <n v="37.54"/>
    <x v="7"/>
  </r>
  <r>
    <n v="1435"/>
    <s v="26-May-2024"/>
    <x v="6"/>
    <x v="3"/>
    <x v="0"/>
    <x v="3"/>
    <s v="Shoes"/>
    <n v="26"/>
    <n v="1777"/>
    <n v="46202"/>
    <x v="3"/>
    <n v="46202"/>
    <n v="27771.51"/>
    <n v="18430.490000000002"/>
    <n v="39.89"/>
    <x v="0"/>
  </r>
  <r>
    <n v="2047"/>
    <s v="03-Nov-2024"/>
    <x v="10"/>
    <x v="2"/>
    <x v="0"/>
    <x v="4"/>
    <s v="Football"/>
    <n v="93"/>
    <n v="567"/>
    <n v="52731"/>
    <x v="1"/>
    <n v="44821.35"/>
    <n v="28716.41"/>
    <n v="16104.94"/>
    <n v="35.93"/>
    <x v="2"/>
  </r>
  <r>
    <n v="1651"/>
    <s v="23-Jul-2024"/>
    <x v="0"/>
    <x v="0"/>
    <x v="2"/>
    <x v="1"/>
    <s v="Laptop"/>
    <n v="96"/>
    <n v="11083"/>
    <n v="1063968"/>
    <x v="3"/>
    <n v="1063968"/>
    <n v="723454.62"/>
    <n v="340513.38"/>
    <n v="32"/>
    <x v="1"/>
  </r>
  <r>
    <n v="1354"/>
    <s v="08-Apr-2024"/>
    <x v="7"/>
    <x v="3"/>
    <x v="2"/>
    <x v="1"/>
    <s v="Headphones"/>
    <n v="60"/>
    <n v="812"/>
    <n v="48720"/>
    <x v="1"/>
    <n v="41412"/>
    <n v="28340.880000000001"/>
    <n v="13071.12"/>
    <n v="31.56"/>
    <x v="0"/>
  </r>
  <r>
    <n v="2181"/>
    <s v="15-Dec-2024"/>
    <x v="4"/>
    <x v="2"/>
    <x v="3"/>
    <x v="3"/>
    <s v="T-Shirts"/>
    <n v="60"/>
    <n v="480"/>
    <n v="28800"/>
    <x v="2"/>
    <n v="23040"/>
    <n v="13101.16"/>
    <n v="9938.84"/>
    <n v="43.14"/>
    <x v="6"/>
  </r>
  <r>
    <n v="1897"/>
    <s v="26-Sep-2024"/>
    <x v="9"/>
    <x v="0"/>
    <x v="3"/>
    <x v="4"/>
    <s v="Football"/>
    <n v="25"/>
    <n v="617"/>
    <n v="15425"/>
    <x v="1"/>
    <n v="13111.25"/>
    <n v="8505.11"/>
    <n v="4606.1400000000003"/>
    <n v="35.130000000000003"/>
    <x v="6"/>
  </r>
  <r>
    <n v="1485"/>
    <s v="26-May-2024"/>
    <x v="6"/>
    <x v="3"/>
    <x v="3"/>
    <x v="3"/>
    <s v="Shoes"/>
    <n v="43"/>
    <n v="1785"/>
    <n v="76755"/>
    <x v="2"/>
    <n v="61404"/>
    <n v="38835.51"/>
    <n v="22568.49"/>
    <n v="36.75"/>
    <x v="1"/>
  </r>
  <r>
    <n v="1880"/>
    <s v="26-Sep-2024"/>
    <x v="9"/>
    <x v="0"/>
    <x v="3"/>
    <x v="1"/>
    <s v="Smart TV"/>
    <n v="138"/>
    <n v="14153"/>
    <n v="1953114"/>
    <x v="3"/>
    <n v="1953114"/>
    <n v="1143342.93"/>
    <n v="809771.07"/>
    <n v="41.46"/>
    <x v="0"/>
  </r>
  <r>
    <n v="1156"/>
    <s v="13-Feb-2024"/>
    <x v="1"/>
    <x v="1"/>
    <x v="2"/>
    <x v="3"/>
    <s v="T-Shirts"/>
    <n v="76"/>
    <n v="477"/>
    <n v="36252"/>
    <x v="2"/>
    <n v="29001.599999999999"/>
    <n v="20215.18"/>
    <n v="8786.42"/>
    <n v="30.3"/>
    <x v="5"/>
  </r>
  <r>
    <n v="1250"/>
    <s v="08-Mar-2024"/>
    <x v="5"/>
    <x v="1"/>
    <x v="0"/>
    <x v="4"/>
    <s v="Cycling Gear"/>
    <n v="52"/>
    <n v="3483"/>
    <n v="181116"/>
    <x v="3"/>
    <n v="181116"/>
    <n v="125632.63"/>
    <n v="55483.37"/>
    <n v="30.63"/>
    <x v="2"/>
  </r>
  <r>
    <n v="2124"/>
    <s v="15-Dec-2024"/>
    <x v="4"/>
    <x v="2"/>
    <x v="1"/>
    <x v="4"/>
    <s v="Dumbbells"/>
    <n v="62"/>
    <n v="2088"/>
    <n v="129456"/>
    <x v="4"/>
    <n v="116510.39999999999"/>
    <n v="81130.080000000002"/>
    <n v="35380.32"/>
    <n v="30.37"/>
    <x v="5"/>
  </r>
  <r>
    <n v="2107"/>
    <s v="15-Dec-2024"/>
    <x v="4"/>
    <x v="2"/>
    <x v="1"/>
    <x v="3"/>
    <s v="Jeans"/>
    <n v="61"/>
    <n v="1270"/>
    <n v="77470"/>
    <x v="1"/>
    <n v="65849.5"/>
    <n v="43898.52"/>
    <n v="21950.98"/>
    <n v="33.340000000000003"/>
    <x v="4"/>
  </r>
  <r>
    <n v="1382"/>
    <s v="08-Apr-2024"/>
    <x v="7"/>
    <x v="3"/>
    <x v="3"/>
    <x v="3"/>
    <s v="Jeans"/>
    <n v="125"/>
    <n v="1189"/>
    <n v="148625"/>
    <x v="1"/>
    <n v="126331.25"/>
    <n v="78138.38"/>
    <n v="48192.87"/>
    <n v="38.15"/>
    <x v="4"/>
  </r>
  <r>
    <n v="1592"/>
    <s v="07-Jun-2024"/>
    <x v="11"/>
    <x v="3"/>
    <x v="3"/>
    <x v="0"/>
    <s v="Beverages"/>
    <n v="85"/>
    <n v="76"/>
    <n v="6460"/>
    <x v="0"/>
    <n v="6137"/>
    <n v="4013.45"/>
    <n v="2123.5500000000002"/>
    <n v="34.6"/>
    <x v="3"/>
  </r>
  <r>
    <n v="1208"/>
    <s v="08-Mar-2024"/>
    <x v="5"/>
    <x v="1"/>
    <x v="1"/>
    <x v="3"/>
    <s v="Jackets"/>
    <n v="141"/>
    <n v="1817"/>
    <n v="256197"/>
    <x v="0"/>
    <n v="243387.15"/>
    <n v="150585.18"/>
    <n v="92801.97"/>
    <n v="38.130000000000003"/>
    <x v="4"/>
  </r>
  <r>
    <n v="1355"/>
    <s v="08-Apr-2024"/>
    <x v="7"/>
    <x v="3"/>
    <x v="2"/>
    <x v="1"/>
    <s v="Smart TV"/>
    <n v="132"/>
    <n v="16364"/>
    <n v="2160048"/>
    <x v="3"/>
    <n v="2160048"/>
    <n v="1282135.1499999999"/>
    <n v="877912.85"/>
    <n v="40.64"/>
    <x v="6"/>
  </r>
  <r>
    <n v="2129"/>
    <s v="15-Dec-2024"/>
    <x v="4"/>
    <x v="2"/>
    <x v="0"/>
    <x v="1"/>
    <s v="Headphones"/>
    <n v="138"/>
    <n v="854"/>
    <n v="117852"/>
    <x v="0"/>
    <n v="111959.4"/>
    <n v="61821.25"/>
    <n v="50138.15"/>
    <n v="44.78"/>
    <x v="0"/>
  </r>
  <r>
    <n v="2022"/>
    <s v="03-Nov-2024"/>
    <x v="10"/>
    <x v="2"/>
    <x v="1"/>
    <x v="4"/>
    <s v="Football"/>
    <n v="59"/>
    <n v="647"/>
    <n v="38173"/>
    <x v="0"/>
    <n v="36264.35"/>
    <n v="24911.040000000001"/>
    <n v="11353.31"/>
    <n v="31.31"/>
    <x v="0"/>
  </r>
  <r>
    <n v="1783"/>
    <s v="23-Aug-2024"/>
    <x v="2"/>
    <x v="0"/>
    <x v="3"/>
    <x v="3"/>
    <s v="Jackets"/>
    <n v="157"/>
    <n v="1887"/>
    <n v="296259"/>
    <x v="2"/>
    <n v="237007.2"/>
    <n v="161187.5"/>
    <n v="75819.7"/>
    <n v="31.99"/>
    <x v="7"/>
  </r>
  <r>
    <n v="2123"/>
    <s v="15-Dec-2024"/>
    <x v="4"/>
    <x v="2"/>
    <x v="1"/>
    <x v="4"/>
    <s v="Yoga Mat"/>
    <n v="64"/>
    <n v="868"/>
    <n v="55552"/>
    <x v="2"/>
    <n v="44441.599999999999"/>
    <n v="25629.88"/>
    <n v="18811.72"/>
    <n v="42.33"/>
    <x v="3"/>
  </r>
  <r>
    <n v="1007"/>
    <s v="21-Jan-2024"/>
    <x v="8"/>
    <x v="1"/>
    <x v="1"/>
    <x v="3"/>
    <s v="Jeans"/>
    <n v="109"/>
    <n v="1255"/>
    <n v="136795"/>
    <x v="3"/>
    <n v="136795"/>
    <n v="95204.86"/>
    <n v="41590.14"/>
    <n v="30.4"/>
    <x v="0"/>
  </r>
  <r>
    <n v="1060"/>
    <s v="21-Jan-2024"/>
    <x v="8"/>
    <x v="1"/>
    <x v="2"/>
    <x v="3"/>
    <s v="Shoes"/>
    <n v="25"/>
    <n v="1938"/>
    <n v="48450"/>
    <x v="3"/>
    <n v="48450"/>
    <n v="30612.58"/>
    <n v="17837.419999999998"/>
    <n v="36.82"/>
    <x v="3"/>
  </r>
  <r>
    <n v="1203"/>
    <s v="08-Mar-2024"/>
    <x v="5"/>
    <x v="1"/>
    <x v="1"/>
    <x v="1"/>
    <s v="Tablet"/>
    <n v="121"/>
    <n v="5096"/>
    <n v="616616"/>
    <x v="0"/>
    <n v="585785.19999999995"/>
    <n v="397608.1"/>
    <n v="188177.1"/>
    <n v="32.119999999999997"/>
    <x v="7"/>
  </r>
  <r>
    <n v="1003"/>
    <s v="21-Jan-2024"/>
    <x v="8"/>
    <x v="1"/>
    <x v="1"/>
    <x v="1"/>
    <s v="Tablet"/>
    <n v="21"/>
    <n v="4719"/>
    <n v="99099"/>
    <x v="3"/>
    <n v="99099"/>
    <n v="62847.27"/>
    <n v="36251.730000000003"/>
    <n v="36.58"/>
    <x v="0"/>
  </r>
  <r>
    <n v="1010"/>
    <s v="21-Jan-2024"/>
    <x v="8"/>
    <x v="1"/>
    <x v="1"/>
    <x v="3"/>
    <s v="Shoes"/>
    <n v="116"/>
    <n v="1757"/>
    <n v="203812"/>
    <x v="2"/>
    <n v="163049.60000000001"/>
    <n v="105224.49"/>
    <n v="57825.11"/>
    <n v="35.46"/>
    <x v="3"/>
  </r>
  <r>
    <n v="1274"/>
    <s v="08-Mar-2024"/>
    <x v="5"/>
    <x v="1"/>
    <x v="2"/>
    <x v="4"/>
    <s v="Dumbbells"/>
    <n v="121"/>
    <n v="2060"/>
    <n v="249260"/>
    <x v="3"/>
    <n v="249260"/>
    <n v="142237.71"/>
    <n v="107022.29"/>
    <n v="42.94"/>
    <x v="6"/>
  </r>
  <r>
    <n v="1223"/>
    <s v="08-Mar-2024"/>
    <x v="5"/>
    <x v="1"/>
    <x v="1"/>
    <x v="4"/>
    <s v="Yoga Mat"/>
    <n v="98"/>
    <n v="825"/>
    <n v="80850"/>
    <x v="0"/>
    <n v="76807.5"/>
    <n v="42577.7"/>
    <n v="34229.800000000003"/>
    <n v="44.57"/>
    <x v="6"/>
  </r>
  <r>
    <n v="1637"/>
    <s v="23-Jul-2024"/>
    <x v="0"/>
    <x v="0"/>
    <x v="0"/>
    <x v="2"/>
    <s v="Dining Table"/>
    <n v="53"/>
    <n v="12260"/>
    <n v="649780"/>
    <x v="0"/>
    <n v="617291"/>
    <n v="405505.29"/>
    <n v="211785.71"/>
    <n v="34.31"/>
    <x v="6"/>
  </r>
  <r>
    <n v="1345"/>
    <s v="08-Apr-2024"/>
    <x v="7"/>
    <x v="3"/>
    <x v="0"/>
    <x v="0"/>
    <s v="Condiments"/>
    <n v="40"/>
    <n v="92"/>
    <n v="3680"/>
    <x v="1"/>
    <n v="3128"/>
    <n v="1789.74"/>
    <n v="1338.26"/>
    <n v="42.78"/>
    <x v="5"/>
  </r>
  <r>
    <n v="1770"/>
    <s v="23-Aug-2024"/>
    <x v="2"/>
    <x v="0"/>
    <x v="2"/>
    <x v="0"/>
    <s v="Condiments"/>
    <n v="100"/>
    <n v="95"/>
    <n v="9500"/>
    <x v="1"/>
    <n v="8075"/>
    <n v="5010.1400000000003"/>
    <n v="3064.86"/>
    <n v="37.950000000000003"/>
    <x v="2"/>
  </r>
  <r>
    <n v="1890"/>
    <s v="26-Sep-2024"/>
    <x v="9"/>
    <x v="0"/>
    <x v="3"/>
    <x v="2"/>
    <s v="Office Chair"/>
    <n v="58"/>
    <n v="5331"/>
    <n v="309198"/>
    <x v="3"/>
    <n v="309198"/>
    <n v="173253.38"/>
    <n v="135944.62"/>
    <n v="43.97"/>
    <x v="7"/>
  </r>
  <r>
    <n v="1587"/>
    <s v="07-Jun-2024"/>
    <x v="11"/>
    <x v="3"/>
    <x v="3"/>
    <x v="2"/>
    <s v="Dining Table"/>
    <n v="53"/>
    <n v="12213"/>
    <n v="647289"/>
    <x v="3"/>
    <n v="647289"/>
    <n v="392747.53"/>
    <n v="254541.47"/>
    <n v="39.32"/>
    <x v="6"/>
  </r>
  <r>
    <n v="2174"/>
    <s v="15-Dec-2024"/>
    <x v="4"/>
    <x v="2"/>
    <x v="2"/>
    <x v="4"/>
    <s v="Dumbbells"/>
    <n v="65"/>
    <n v="2091"/>
    <n v="135915"/>
    <x v="1"/>
    <n v="115527.75"/>
    <n v="76166.39"/>
    <n v="39361.360000000001"/>
    <n v="34.07"/>
    <x v="0"/>
  </r>
  <r>
    <n v="1563"/>
    <s v="07-Jun-2024"/>
    <x v="11"/>
    <x v="3"/>
    <x v="2"/>
    <x v="2"/>
    <s v="Wardrobe"/>
    <n v="110"/>
    <n v="13325"/>
    <n v="1465750"/>
    <x v="3"/>
    <n v="1465750"/>
    <n v="810955.54"/>
    <n v="654794.46"/>
    <n v="44.67"/>
    <x v="1"/>
  </r>
  <r>
    <n v="1586"/>
    <s v="07-Jun-2024"/>
    <x v="11"/>
    <x v="3"/>
    <x v="3"/>
    <x v="2"/>
    <s v="Sofa"/>
    <n v="135"/>
    <n v="19658"/>
    <n v="2653830"/>
    <x v="4"/>
    <n v="2388447"/>
    <n v="1376056.93"/>
    <n v="1012390.07"/>
    <n v="42.39"/>
    <x v="3"/>
  </r>
  <r>
    <n v="2025"/>
    <s v="03-Nov-2024"/>
    <x v="10"/>
    <x v="2"/>
    <x v="1"/>
    <x v="4"/>
    <s v="Cycling Gear"/>
    <n v="123"/>
    <n v="3270"/>
    <n v="402210"/>
    <x v="4"/>
    <n v="361989"/>
    <n v="231914.06"/>
    <n v="130074.94"/>
    <n v="35.93"/>
    <x v="7"/>
  </r>
  <r>
    <n v="1415"/>
    <s v="26-May-2024"/>
    <x v="6"/>
    <x v="3"/>
    <x v="1"/>
    <x v="2"/>
    <s v="Office Chair"/>
    <n v="72"/>
    <n v="4880"/>
    <n v="351360"/>
    <x v="0"/>
    <n v="333792"/>
    <n v="208585.03"/>
    <n v="125206.97"/>
    <n v="37.51"/>
    <x v="3"/>
  </r>
  <r>
    <n v="1626"/>
    <s v="23-Jul-2024"/>
    <x v="0"/>
    <x v="0"/>
    <x v="0"/>
    <x v="1"/>
    <s v="Laptop"/>
    <n v="48"/>
    <n v="11307"/>
    <n v="542736"/>
    <x v="1"/>
    <n v="461325.6"/>
    <n v="305001.59999999998"/>
    <n v="156324"/>
    <n v="33.89"/>
    <x v="3"/>
  </r>
  <r>
    <n v="1750"/>
    <s v="23-Aug-2024"/>
    <x v="2"/>
    <x v="0"/>
    <x v="0"/>
    <x v="4"/>
    <s v="Cycling Gear"/>
    <n v="93"/>
    <n v="3813"/>
    <n v="354609"/>
    <x v="0"/>
    <n v="336878.55"/>
    <n v="195897.55"/>
    <n v="140981"/>
    <n v="41.85"/>
    <x v="3"/>
  </r>
  <r>
    <n v="1798"/>
    <s v="23-Aug-2024"/>
    <x v="2"/>
    <x v="0"/>
    <x v="3"/>
    <x v="4"/>
    <s v="Yoga Mat"/>
    <n v="100"/>
    <n v="809"/>
    <n v="80900"/>
    <x v="3"/>
    <n v="80900"/>
    <n v="48987.53"/>
    <n v="31912.47"/>
    <n v="39.450000000000003"/>
    <x v="2"/>
  </r>
  <r>
    <n v="2080"/>
    <s v="03-Nov-2024"/>
    <x v="10"/>
    <x v="2"/>
    <x v="3"/>
    <x v="1"/>
    <s v="Smart TV"/>
    <n v="74"/>
    <n v="15938"/>
    <n v="1179412"/>
    <x v="3"/>
    <n v="1179412"/>
    <n v="726619.49"/>
    <n v="452792.51"/>
    <n v="38.39"/>
    <x v="2"/>
  </r>
  <r>
    <n v="1320"/>
    <s v="08-Apr-2024"/>
    <x v="7"/>
    <x v="3"/>
    <x v="1"/>
    <x v="0"/>
    <s v="Condiments"/>
    <n v="140"/>
    <n v="82"/>
    <n v="11480"/>
    <x v="3"/>
    <n v="11480"/>
    <n v="7947.4"/>
    <n v="3532.6"/>
    <n v="30.77"/>
    <x v="6"/>
  </r>
  <r>
    <n v="1231"/>
    <s v="08-Mar-2024"/>
    <x v="5"/>
    <x v="1"/>
    <x v="0"/>
    <x v="3"/>
    <s v="T-Shirts"/>
    <n v="75"/>
    <n v="481"/>
    <n v="36075"/>
    <x v="0"/>
    <n v="34271.25"/>
    <n v="20881.11"/>
    <n v="13390.14"/>
    <n v="39.07"/>
    <x v="4"/>
  </r>
  <r>
    <n v="1344"/>
    <s v="08-Apr-2024"/>
    <x v="7"/>
    <x v="3"/>
    <x v="0"/>
    <x v="0"/>
    <s v="Frozen Foods"/>
    <n v="138"/>
    <n v="158"/>
    <n v="21804"/>
    <x v="0"/>
    <n v="20713.8"/>
    <n v="13634.03"/>
    <n v="7079.77"/>
    <n v="34.18"/>
    <x v="2"/>
  </r>
  <r>
    <n v="1388"/>
    <s v="08-Apr-2024"/>
    <x v="7"/>
    <x v="3"/>
    <x v="3"/>
    <x v="2"/>
    <s v="Wardrobe"/>
    <n v="78"/>
    <n v="15168"/>
    <n v="1183104"/>
    <x v="1"/>
    <n v="1005638.4"/>
    <n v="609765.66"/>
    <n v="395872.74"/>
    <n v="39.369999999999997"/>
    <x v="7"/>
  </r>
  <r>
    <n v="1233"/>
    <s v="08-Mar-2024"/>
    <x v="5"/>
    <x v="1"/>
    <x v="0"/>
    <x v="3"/>
    <s v="Jackets"/>
    <n v="49"/>
    <n v="1848"/>
    <n v="90552"/>
    <x v="2"/>
    <n v="72441.600000000006"/>
    <n v="47960.11"/>
    <n v="24481.49"/>
    <n v="33.79"/>
    <x v="7"/>
  </r>
  <r>
    <n v="1371"/>
    <s v="08-Apr-2024"/>
    <x v="7"/>
    <x v="3"/>
    <x v="2"/>
    <x v="4"/>
    <s v="Cricket Bat"/>
    <n v="46"/>
    <n v="1114"/>
    <n v="51244"/>
    <x v="4"/>
    <n v="46119.6"/>
    <n v="31839.759999999998"/>
    <n v="14279.84"/>
    <n v="30.96"/>
    <x v="4"/>
  </r>
  <r>
    <n v="1301"/>
    <s v="08-Apr-2024"/>
    <x v="7"/>
    <x v="3"/>
    <x v="1"/>
    <x v="1"/>
    <s v="Laptop"/>
    <n v="133"/>
    <n v="11679"/>
    <n v="1553307"/>
    <x v="1"/>
    <n v="1320310.95"/>
    <n v="914209.8"/>
    <n v="406101.15"/>
    <n v="30.76"/>
    <x v="4"/>
  </r>
  <r>
    <n v="1161"/>
    <s v="13-Feb-2024"/>
    <x v="1"/>
    <x v="1"/>
    <x v="2"/>
    <x v="2"/>
    <s v="Sofa"/>
    <n v="70"/>
    <n v="17358"/>
    <n v="1215060"/>
    <x v="0"/>
    <n v="1154307"/>
    <n v="804686.1"/>
    <n v="349620.9"/>
    <n v="30.29"/>
    <x v="5"/>
  </r>
  <r>
    <n v="1654"/>
    <s v="23-Jul-2024"/>
    <x v="0"/>
    <x v="0"/>
    <x v="2"/>
    <x v="1"/>
    <s v="Headphones"/>
    <n v="77"/>
    <n v="878"/>
    <n v="67606"/>
    <x v="2"/>
    <n v="54084.800000000003"/>
    <n v="30908.58"/>
    <n v="23176.22"/>
    <n v="42.85"/>
    <x v="7"/>
  </r>
  <r>
    <n v="1855"/>
    <s v="26-Sep-2024"/>
    <x v="9"/>
    <x v="0"/>
    <x v="2"/>
    <x v="1"/>
    <s v="Smart TV"/>
    <n v="161"/>
    <n v="15122"/>
    <n v="2434642"/>
    <x v="0"/>
    <n v="2312909.9"/>
    <n v="1462410.81"/>
    <n v="850499.09"/>
    <n v="36.770000000000003"/>
    <x v="7"/>
  </r>
  <r>
    <n v="1449"/>
    <s v="26-May-2024"/>
    <x v="6"/>
    <x v="3"/>
    <x v="0"/>
    <x v="4"/>
    <s v="Dumbbells"/>
    <n v="142"/>
    <n v="1933"/>
    <n v="274486"/>
    <x v="1"/>
    <n v="233313.1"/>
    <n v="156462.44"/>
    <n v="76850.66"/>
    <n v="32.94"/>
    <x v="3"/>
  </r>
  <r>
    <n v="1555"/>
    <s v="07-Jun-2024"/>
    <x v="11"/>
    <x v="3"/>
    <x v="2"/>
    <x v="1"/>
    <s v="Smart TV"/>
    <n v="90"/>
    <n v="14442"/>
    <n v="1299780"/>
    <x v="3"/>
    <n v="1299780"/>
    <n v="819366.6"/>
    <n v="480413.4"/>
    <n v="36.96"/>
    <x v="5"/>
  </r>
  <r>
    <n v="1971"/>
    <s v="27-Oct-2024"/>
    <x v="3"/>
    <x v="2"/>
    <x v="2"/>
    <x v="4"/>
    <s v="Cricket Bat"/>
    <n v="40"/>
    <n v="1249"/>
    <n v="49960"/>
    <x v="4"/>
    <n v="44964"/>
    <n v="25305.56"/>
    <n v="19658.439999999999"/>
    <n v="43.72"/>
    <x v="0"/>
  </r>
  <r>
    <n v="1496"/>
    <s v="26-May-2024"/>
    <x v="6"/>
    <x v="3"/>
    <x v="3"/>
    <x v="4"/>
    <s v="Cricket Bat"/>
    <n v="87"/>
    <n v="1219"/>
    <n v="106053"/>
    <x v="0"/>
    <n v="100750.35"/>
    <n v="64900.55"/>
    <n v="35849.800000000003"/>
    <n v="35.58"/>
    <x v="0"/>
  </r>
  <r>
    <n v="1202"/>
    <s v="08-Mar-2024"/>
    <x v="5"/>
    <x v="1"/>
    <x v="1"/>
    <x v="1"/>
    <s v="Smartphone"/>
    <n v="95"/>
    <n v="8501"/>
    <n v="807595"/>
    <x v="0"/>
    <n v="767215.25"/>
    <n v="459779.77"/>
    <n v="307435.48"/>
    <n v="40.07"/>
    <x v="7"/>
  </r>
  <r>
    <n v="1432"/>
    <s v="26-May-2024"/>
    <x v="6"/>
    <x v="3"/>
    <x v="0"/>
    <x v="3"/>
    <s v="Jeans"/>
    <n v="117"/>
    <n v="1251"/>
    <n v="146367"/>
    <x v="1"/>
    <n v="124411.95"/>
    <n v="85761.04"/>
    <n v="38650.910000000003"/>
    <n v="31.07"/>
    <x v="6"/>
  </r>
  <r>
    <n v="1094"/>
    <s v="21-Jan-2024"/>
    <x v="8"/>
    <x v="1"/>
    <x v="3"/>
    <x v="0"/>
    <s v="Frozen Foods"/>
    <n v="59"/>
    <n v="141"/>
    <n v="8319"/>
    <x v="1"/>
    <n v="7071.15"/>
    <n v="4302.24"/>
    <n v="2768.91"/>
    <n v="39.159999999999997"/>
    <x v="4"/>
  </r>
  <r>
    <n v="1776"/>
    <s v="23-Aug-2024"/>
    <x v="2"/>
    <x v="0"/>
    <x v="3"/>
    <x v="1"/>
    <s v="Laptop"/>
    <n v="84"/>
    <n v="11352"/>
    <n v="953568"/>
    <x v="0"/>
    <n v="905889.6"/>
    <n v="526980.94999999995"/>
    <n v="378908.65"/>
    <n v="41.83"/>
    <x v="7"/>
  </r>
  <r>
    <n v="1557"/>
    <s v="07-Jun-2024"/>
    <x v="11"/>
    <x v="3"/>
    <x v="2"/>
    <x v="3"/>
    <s v="Jeans"/>
    <n v="147"/>
    <n v="1247"/>
    <n v="183309"/>
    <x v="3"/>
    <n v="183309"/>
    <n v="106732.24"/>
    <n v="76576.759999999995"/>
    <n v="41.77"/>
    <x v="3"/>
  </r>
  <r>
    <n v="1237"/>
    <s v="08-Mar-2024"/>
    <x v="5"/>
    <x v="1"/>
    <x v="0"/>
    <x v="2"/>
    <s v="Dining Table"/>
    <n v="49"/>
    <n v="11772"/>
    <n v="576828"/>
    <x v="4"/>
    <n v="519145.2"/>
    <n v="298913.93"/>
    <n v="220231.27"/>
    <n v="42.42"/>
    <x v="2"/>
  </r>
  <r>
    <n v="2183"/>
    <s v="15-Dec-2024"/>
    <x v="4"/>
    <x v="2"/>
    <x v="3"/>
    <x v="3"/>
    <s v="Jackets"/>
    <n v="126"/>
    <n v="2188"/>
    <n v="275688"/>
    <x v="4"/>
    <n v="248119.2"/>
    <n v="158091.6"/>
    <n v="90027.6"/>
    <n v="36.28"/>
    <x v="0"/>
  </r>
  <r>
    <n v="1677"/>
    <s v="23-Jul-2024"/>
    <x v="0"/>
    <x v="0"/>
    <x v="3"/>
    <x v="1"/>
    <s v="Smartphone"/>
    <n v="158"/>
    <n v="8231"/>
    <n v="1300498"/>
    <x v="2"/>
    <n v="1040398.4"/>
    <n v="726510.09"/>
    <n v="313888.31"/>
    <n v="30.17"/>
    <x v="6"/>
  </r>
  <r>
    <n v="1059"/>
    <s v="21-Jan-2024"/>
    <x v="8"/>
    <x v="1"/>
    <x v="2"/>
    <x v="3"/>
    <s v="Dresses"/>
    <n v="34"/>
    <n v="1483"/>
    <n v="50422"/>
    <x v="1"/>
    <n v="42858.7"/>
    <n v="27178.25"/>
    <n v="15680.45"/>
    <n v="36.590000000000003"/>
    <x v="1"/>
  </r>
  <r>
    <n v="1869"/>
    <s v="26-Sep-2024"/>
    <x v="9"/>
    <x v="0"/>
    <x v="2"/>
    <x v="0"/>
    <s v="Frozen Foods"/>
    <n v="48"/>
    <n v="138"/>
    <n v="6624"/>
    <x v="0"/>
    <n v="6292.8"/>
    <n v="3579.07"/>
    <n v="2713.73"/>
    <n v="43.12"/>
    <x v="2"/>
  </r>
  <r>
    <n v="1949"/>
    <s v="27-Oct-2024"/>
    <x v="3"/>
    <x v="2"/>
    <x v="0"/>
    <x v="4"/>
    <s v="Dumbbells"/>
    <n v="53"/>
    <n v="1855"/>
    <n v="98315"/>
    <x v="0"/>
    <n v="93399.25"/>
    <n v="63454.34"/>
    <n v="29944.91"/>
    <n v="32.06"/>
    <x v="6"/>
  </r>
  <r>
    <n v="1984"/>
    <s v="27-Oct-2024"/>
    <x v="3"/>
    <x v="2"/>
    <x v="3"/>
    <x v="3"/>
    <s v="Dresses"/>
    <n v="169"/>
    <n v="1378"/>
    <n v="232882"/>
    <x v="0"/>
    <n v="221237.9"/>
    <n v="132393.91"/>
    <n v="88843.99"/>
    <n v="40.159999999999997"/>
    <x v="0"/>
  </r>
  <r>
    <n v="2140"/>
    <s v="15-Dec-2024"/>
    <x v="4"/>
    <x v="2"/>
    <x v="0"/>
    <x v="2"/>
    <s v="Office Chair"/>
    <n v="157"/>
    <n v="5113"/>
    <n v="802741"/>
    <x v="0"/>
    <n v="762603.95"/>
    <n v="509536.71"/>
    <n v="253067.24"/>
    <n v="33.18"/>
    <x v="1"/>
  </r>
  <r>
    <n v="1300"/>
    <s v="08-Mar-2024"/>
    <x v="5"/>
    <x v="1"/>
    <x v="3"/>
    <x v="4"/>
    <s v="Cycling Gear"/>
    <n v="117"/>
    <n v="3625"/>
    <n v="424125"/>
    <x v="2"/>
    <n v="339300"/>
    <n v="188386.09"/>
    <n v="150913.91"/>
    <n v="44.48"/>
    <x v="1"/>
  </r>
  <r>
    <n v="1879"/>
    <s v="26-Sep-2024"/>
    <x v="9"/>
    <x v="0"/>
    <x v="3"/>
    <x v="1"/>
    <s v="Headphones"/>
    <n v="55"/>
    <n v="822"/>
    <n v="45210"/>
    <x v="0"/>
    <n v="42949.5"/>
    <n v="25944.25"/>
    <n v="17005.25"/>
    <n v="39.590000000000003"/>
    <x v="4"/>
  </r>
  <r>
    <n v="1182"/>
    <s v="13-Feb-2024"/>
    <x v="1"/>
    <x v="1"/>
    <x v="3"/>
    <x v="3"/>
    <s v="Jeans"/>
    <n v="86"/>
    <n v="1297"/>
    <n v="111542"/>
    <x v="3"/>
    <n v="111542"/>
    <n v="66516.95"/>
    <n v="45025.05"/>
    <n v="40.369999999999997"/>
    <x v="2"/>
  </r>
  <r>
    <n v="1130"/>
    <s v="13-Feb-2024"/>
    <x v="1"/>
    <x v="1"/>
    <x v="0"/>
    <x v="1"/>
    <s v="Smart TV"/>
    <n v="114"/>
    <n v="14933"/>
    <n v="1702362"/>
    <x v="3"/>
    <n v="1702362"/>
    <n v="1038621.47"/>
    <n v="663740.53"/>
    <n v="38.99"/>
    <x v="1"/>
  </r>
  <r>
    <n v="1852"/>
    <s v="26-Sep-2024"/>
    <x v="9"/>
    <x v="0"/>
    <x v="2"/>
    <x v="1"/>
    <s v="Smartphone"/>
    <n v="34"/>
    <n v="8691"/>
    <n v="295494"/>
    <x v="1"/>
    <n v="251169.9"/>
    <n v="149799.13"/>
    <n v="101370.77"/>
    <n v="40.36"/>
    <x v="5"/>
  </r>
  <r>
    <n v="2118"/>
    <s v="15-Dec-2024"/>
    <x v="4"/>
    <x v="2"/>
    <x v="1"/>
    <x v="0"/>
    <s v="Dairy Products"/>
    <n v="231"/>
    <n v="112"/>
    <n v="25872"/>
    <x v="3"/>
    <n v="25872"/>
    <n v="16112.03"/>
    <n v="9759.9699999999993"/>
    <n v="37.72"/>
    <x v="1"/>
  </r>
  <r>
    <n v="1369"/>
    <s v="08-Apr-2024"/>
    <x v="7"/>
    <x v="3"/>
    <x v="2"/>
    <x v="0"/>
    <s v="Frozen Foods"/>
    <n v="121"/>
    <n v="159"/>
    <n v="19239"/>
    <x v="0"/>
    <n v="18277.05"/>
    <n v="10533.51"/>
    <n v="7743.54"/>
    <n v="42.37"/>
    <x v="0"/>
  </r>
  <r>
    <n v="1339"/>
    <s v="08-Apr-2024"/>
    <x v="7"/>
    <x v="3"/>
    <x v="0"/>
    <x v="2"/>
    <s v="Bed Frame"/>
    <n v="23"/>
    <n v="10427"/>
    <n v="239821"/>
    <x v="2"/>
    <n v="191856.8"/>
    <n v="120466.87"/>
    <n v="71389.929999999993"/>
    <n v="37.21"/>
    <x v="7"/>
  </r>
  <r>
    <n v="1238"/>
    <s v="08-Mar-2024"/>
    <x v="5"/>
    <x v="1"/>
    <x v="0"/>
    <x v="2"/>
    <s v="Wardrobe"/>
    <n v="109"/>
    <n v="15175"/>
    <n v="1654075"/>
    <x v="3"/>
    <n v="1654075"/>
    <n v="1018094.36"/>
    <n v="635980.64"/>
    <n v="38.450000000000003"/>
    <x v="1"/>
  </r>
  <r>
    <n v="1049"/>
    <s v="21-Jan-2024"/>
    <x v="8"/>
    <x v="1"/>
    <x v="0"/>
    <x v="4"/>
    <s v="Dumbbells"/>
    <n v="107"/>
    <n v="1882"/>
    <n v="201374"/>
    <x v="4"/>
    <n v="181236.6"/>
    <n v="106168.92"/>
    <n v="75067.679999999993"/>
    <n v="41.42"/>
    <x v="0"/>
  </r>
  <r>
    <n v="1729"/>
    <s v="23-Aug-2024"/>
    <x v="2"/>
    <x v="0"/>
    <x v="0"/>
    <x v="1"/>
    <s v="Headphones"/>
    <n v="30"/>
    <n v="833"/>
    <n v="24990"/>
    <x v="0"/>
    <n v="23740.5"/>
    <n v="16465.18"/>
    <n v="7275.32"/>
    <n v="30.65"/>
    <x v="1"/>
  </r>
  <r>
    <n v="1603"/>
    <s v="23-Jul-2024"/>
    <x v="0"/>
    <x v="0"/>
    <x v="1"/>
    <x v="1"/>
    <s v="Tablet"/>
    <n v="25"/>
    <n v="4588"/>
    <n v="114700"/>
    <x v="2"/>
    <n v="91760"/>
    <n v="53216.32"/>
    <n v="38543.68"/>
    <n v="42"/>
    <x v="4"/>
  </r>
  <r>
    <n v="1565"/>
    <s v="07-Jun-2024"/>
    <x v="11"/>
    <x v="3"/>
    <x v="2"/>
    <x v="2"/>
    <s v="Office Chair"/>
    <n v="41"/>
    <n v="5442"/>
    <n v="223122"/>
    <x v="3"/>
    <n v="223122"/>
    <n v="128339.41"/>
    <n v="94782.59"/>
    <n v="42.48"/>
    <x v="0"/>
  </r>
  <r>
    <n v="1634"/>
    <s v="23-Jul-2024"/>
    <x v="0"/>
    <x v="0"/>
    <x v="0"/>
    <x v="3"/>
    <s v="Dresses"/>
    <n v="44"/>
    <n v="1522"/>
    <n v="66968"/>
    <x v="0"/>
    <n v="63619.6"/>
    <n v="43170.14"/>
    <n v="20449.46"/>
    <n v="32.14"/>
    <x v="5"/>
  </r>
  <r>
    <n v="1697"/>
    <s v="23-Jul-2024"/>
    <x v="0"/>
    <x v="0"/>
    <x v="3"/>
    <x v="4"/>
    <s v="Football"/>
    <n v="156"/>
    <n v="607"/>
    <n v="94692"/>
    <x v="2"/>
    <n v="75753.600000000006"/>
    <n v="52463.4"/>
    <n v="23290.2"/>
    <n v="30.74"/>
    <x v="3"/>
  </r>
  <r>
    <n v="2165"/>
    <s v="15-Dec-2024"/>
    <x v="4"/>
    <x v="2"/>
    <x v="2"/>
    <x v="2"/>
    <s v="Office Chair"/>
    <n v="100"/>
    <n v="4612"/>
    <n v="461200"/>
    <x v="2"/>
    <n v="368960"/>
    <n v="252747.26"/>
    <n v="116212.74"/>
    <n v="31.5"/>
    <x v="7"/>
  </r>
  <r>
    <n v="2057"/>
    <s v="03-Nov-2024"/>
    <x v="10"/>
    <x v="2"/>
    <x v="2"/>
    <x v="3"/>
    <s v="Jeans"/>
    <n v="183"/>
    <n v="1230"/>
    <n v="225090"/>
    <x v="0"/>
    <n v="213835.5"/>
    <n v="133158.37"/>
    <n v="80677.13"/>
    <n v="37.729999999999997"/>
    <x v="7"/>
  </r>
  <r>
    <n v="1040"/>
    <s v="21-Jan-2024"/>
    <x v="8"/>
    <x v="1"/>
    <x v="0"/>
    <x v="2"/>
    <s v="Office Chair"/>
    <n v="101"/>
    <n v="4575"/>
    <n v="462075"/>
    <x v="3"/>
    <n v="462075"/>
    <n v="257647.59"/>
    <n v="204427.41"/>
    <n v="44.24"/>
    <x v="4"/>
  </r>
  <r>
    <n v="1283"/>
    <s v="08-Mar-2024"/>
    <x v="5"/>
    <x v="1"/>
    <x v="3"/>
    <x v="3"/>
    <s v="Jackets"/>
    <n v="23"/>
    <n v="1955"/>
    <n v="44965"/>
    <x v="4"/>
    <n v="40468.5"/>
    <n v="23797.4"/>
    <n v="16671.099999999999"/>
    <n v="41.2"/>
    <x v="4"/>
  </r>
  <r>
    <n v="1025"/>
    <s v="21-Jan-2024"/>
    <x v="8"/>
    <x v="1"/>
    <x v="1"/>
    <x v="4"/>
    <s v="Cycling Gear"/>
    <n v="113"/>
    <n v="3505"/>
    <n v="396065"/>
    <x v="0"/>
    <n v="376261.75"/>
    <n v="215570.1"/>
    <n v="160691.65"/>
    <n v="42.71"/>
    <x v="7"/>
  </r>
  <r>
    <n v="1551"/>
    <s v="07-Jun-2024"/>
    <x v="11"/>
    <x v="3"/>
    <x v="2"/>
    <x v="1"/>
    <s v="Laptop"/>
    <n v="34"/>
    <n v="12163"/>
    <n v="413542"/>
    <x v="1"/>
    <n v="351510.7"/>
    <n v="228259.3"/>
    <n v="123251.4"/>
    <n v="35.06"/>
    <x v="7"/>
  </r>
  <r>
    <n v="1728"/>
    <s v="23-Aug-2024"/>
    <x v="2"/>
    <x v="0"/>
    <x v="0"/>
    <x v="1"/>
    <s v="Tablet"/>
    <n v="126"/>
    <n v="5125"/>
    <n v="645750"/>
    <x v="0"/>
    <n v="613462.5"/>
    <n v="382544.57"/>
    <n v="230917.93"/>
    <n v="37.64"/>
    <x v="3"/>
  </r>
  <r>
    <n v="1219"/>
    <s v="08-Mar-2024"/>
    <x v="5"/>
    <x v="1"/>
    <x v="1"/>
    <x v="0"/>
    <s v="Frozen Foods"/>
    <n v="65"/>
    <n v="155"/>
    <n v="10075"/>
    <x v="1"/>
    <n v="8563.75"/>
    <n v="5825.18"/>
    <n v="2738.57"/>
    <n v="31.98"/>
    <x v="4"/>
  </r>
  <r>
    <n v="1835"/>
    <s v="26-Sep-2024"/>
    <x v="9"/>
    <x v="0"/>
    <x v="0"/>
    <x v="3"/>
    <s v="Shoes"/>
    <n v="91"/>
    <n v="1928"/>
    <n v="175448"/>
    <x v="0"/>
    <n v="166675.6"/>
    <n v="95317.87"/>
    <n v="71357.73"/>
    <n v="42.81"/>
    <x v="7"/>
  </r>
  <r>
    <n v="1128"/>
    <s v="13-Feb-2024"/>
    <x v="1"/>
    <x v="1"/>
    <x v="0"/>
    <x v="1"/>
    <s v="Tablet"/>
    <n v="83"/>
    <n v="5253"/>
    <n v="435999"/>
    <x v="3"/>
    <n v="435999"/>
    <n v="296875.19"/>
    <n v="139123.81"/>
    <n v="31.91"/>
    <x v="6"/>
  </r>
  <r>
    <n v="1831"/>
    <s v="26-Sep-2024"/>
    <x v="9"/>
    <x v="0"/>
    <x v="0"/>
    <x v="3"/>
    <s v="T-Shirts"/>
    <n v="44"/>
    <n v="476"/>
    <n v="20944"/>
    <x v="0"/>
    <n v="19896.8"/>
    <n v="12349.98"/>
    <n v="7546.82"/>
    <n v="37.93"/>
    <x v="3"/>
  </r>
  <r>
    <n v="2180"/>
    <s v="15-Dec-2024"/>
    <x v="4"/>
    <x v="2"/>
    <x v="3"/>
    <x v="1"/>
    <s v="Smart TV"/>
    <n v="126"/>
    <n v="15720"/>
    <n v="1980720"/>
    <x v="0"/>
    <n v="1881684"/>
    <n v="1042501.86"/>
    <n v="839182.14"/>
    <n v="44.6"/>
    <x v="4"/>
  </r>
  <r>
    <n v="1791"/>
    <s v="23-Aug-2024"/>
    <x v="2"/>
    <x v="0"/>
    <x v="3"/>
    <x v="0"/>
    <s v="Organic Snacks"/>
    <n v="54"/>
    <n v="212"/>
    <n v="11448"/>
    <x v="1"/>
    <n v="9730.7999999999993"/>
    <n v="5863.56"/>
    <n v="3867.24"/>
    <n v="39.74"/>
    <x v="1"/>
  </r>
  <r>
    <n v="1351"/>
    <s v="08-Apr-2024"/>
    <x v="7"/>
    <x v="3"/>
    <x v="2"/>
    <x v="1"/>
    <s v="Laptop"/>
    <n v="104"/>
    <n v="11261"/>
    <n v="1171144"/>
    <x v="0"/>
    <n v="1112586.8"/>
    <n v="658485.56000000006"/>
    <n v="454101.24"/>
    <n v="40.81"/>
    <x v="6"/>
  </r>
  <r>
    <n v="1977"/>
    <s v="27-Oct-2024"/>
    <x v="3"/>
    <x v="2"/>
    <x v="3"/>
    <x v="1"/>
    <s v="Smartphone"/>
    <n v="25"/>
    <n v="7996"/>
    <n v="199900"/>
    <x v="2"/>
    <n v="159920"/>
    <n v="100993.51"/>
    <n v="58926.49"/>
    <n v="36.85"/>
    <x v="4"/>
  </r>
  <r>
    <n v="1641"/>
    <s v="23-Jul-2024"/>
    <x v="0"/>
    <x v="0"/>
    <x v="0"/>
    <x v="0"/>
    <s v="Organic Snacks"/>
    <n v="64"/>
    <n v="184"/>
    <n v="11776"/>
    <x v="3"/>
    <n v="11776"/>
    <n v="7070.81"/>
    <n v="4705.1899999999996"/>
    <n v="39.96"/>
    <x v="6"/>
  </r>
  <r>
    <n v="1954"/>
    <s v="27-Oct-2024"/>
    <x v="3"/>
    <x v="2"/>
    <x v="2"/>
    <x v="1"/>
    <s v="Headphones"/>
    <n v="50"/>
    <n v="750"/>
    <n v="37500"/>
    <x v="3"/>
    <n v="37500"/>
    <n v="21664.2"/>
    <n v="15835.8"/>
    <n v="42.23"/>
    <x v="6"/>
  </r>
  <r>
    <n v="1308"/>
    <s v="08-Apr-2024"/>
    <x v="7"/>
    <x v="3"/>
    <x v="1"/>
    <x v="3"/>
    <s v="Jackets"/>
    <n v="117"/>
    <n v="2084"/>
    <n v="243828"/>
    <x v="0"/>
    <n v="231636.6"/>
    <n v="158369.89000000001"/>
    <n v="73266.710000000006"/>
    <n v="31.63"/>
    <x v="7"/>
  </r>
  <r>
    <n v="1790"/>
    <s v="23-Aug-2024"/>
    <x v="2"/>
    <x v="0"/>
    <x v="3"/>
    <x v="2"/>
    <s v="Office Chair"/>
    <n v="96"/>
    <n v="4870"/>
    <n v="467520"/>
    <x v="3"/>
    <n v="467520"/>
    <n v="306060.28999999998"/>
    <n v="161459.71"/>
    <n v="34.54"/>
    <x v="0"/>
  </r>
  <r>
    <n v="1082"/>
    <s v="21-Jan-2024"/>
    <x v="8"/>
    <x v="1"/>
    <x v="3"/>
    <x v="3"/>
    <s v="Jeans"/>
    <n v="85"/>
    <n v="1134"/>
    <n v="96390"/>
    <x v="0"/>
    <n v="91570.5"/>
    <n v="52387.77"/>
    <n v="39182.730000000003"/>
    <n v="42.79"/>
    <x v="4"/>
  </r>
  <r>
    <n v="1448"/>
    <s v="26-May-2024"/>
    <x v="6"/>
    <x v="3"/>
    <x v="0"/>
    <x v="4"/>
    <s v="Yoga Mat"/>
    <n v="96"/>
    <n v="751"/>
    <n v="72096"/>
    <x v="3"/>
    <n v="72096"/>
    <n v="41118.04"/>
    <n v="30977.96"/>
    <n v="42.97"/>
    <x v="4"/>
  </r>
  <r>
    <n v="1666"/>
    <s v="23-Jul-2024"/>
    <x v="0"/>
    <x v="0"/>
    <x v="2"/>
    <x v="0"/>
    <s v="Organic Snacks"/>
    <n v="43"/>
    <n v="208"/>
    <n v="8944"/>
    <x v="3"/>
    <n v="8944"/>
    <n v="5422.56"/>
    <n v="3521.44"/>
    <n v="39.369999999999997"/>
    <x v="6"/>
  </r>
  <r>
    <n v="1878"/>
    <s v="26-Sep-2024"/>
    <x v="9"/>
    <x v="0"/>
    <x v="3"/>
    <x v="1"/>
    <s v="Tablet"/>
    <n v="148"/>
    <n v="4659"/>
    <n v="689532"/>
    <x v="3"/>
    <n v="689532"/>
    <n v="456269.31"/>
    <n v="233262.69"/>
    <n v="33.83"/>
    <x v="1"/>
  </r>
  <r>
    <n v="1982"/>
    <s v="27-Oct-2024"/>
    <x v="3"/>
    <x v="2"/>
    <x v="3"/>
    <x v="3"/>
    <s v="Jeans"/>
    <n v="75"/>
    <n v="1101"/>
    <n v="82575"/>
    <x v="3"/>
    <n v="82575"/>
    <n v="50580.78"/>
    <n v="31994.22"/>
    <n v="38.75"/>
    <x v="7"/>
  </r>
  <r>
    <n v="2117"/>
    <s v="15-Dec-2024"/>
    <x v="4"/>
    <x v="2"/>
    <x v="1"/>
    <x v="0"/>
    <s v="Beverages"/>
    <n v="86"/>
    <n v="82"/>
    <n v="7052"/>
    <x v="2"/>
    <n v="5641.6"/>
    <n v="3139.54"/>
    <n v="2502.06"/>
    <n v="44.35"/>
    <x v="4"/>
  </r>
  <r>
    <n v="1159"/>
    <s v="13-Feb-2024"/>
    <x v="1"/>
    <x v="1"/>
    <x v="2"/>
    <x v="3"/>
    <s v="Dresses"/>
    <n v="113"/>
    <n v="1435"/>
    <n v="162155"/>
    <x v="0"/>
    <n v="154047.25"/>
    <n v="104077.62"/>
    <n v="49969.63"/>
    <n v="32.44"/>
    <x v="2"/>
  </r>
  <r>
    <n v="1739"/>
    <s v="23-Aug-2024"/>
    <x v="2"/>
    <x v="0"/>
    <x v="0"/>
    <x v="2"/>
    <s v="Bed Frame"/>
    <n v="134"/>
    <n v="9411"/>
    <n v="1261074"/>
    <x v="1"/>
    <n v="1071912.8999999999"/>
    <n v="693510.68"/>
    <n v="378402.22"/>
    <n v="35.299999999999997"/>
    <x v="1"/>
  </r>
  <r>
    <n v="1475"/>
    <s v="26-May-2024"/>
    <x v="6"/>
    <x v="3"/>
    <x v="2"/>
    <x v="4"/>
    <s v="Cycling Gear"/>
    <n v="97"/>
    <n v="3597"/>
    <n v="348909"/>
    <x v="1"/>
    <n v="296572.65000000002"/>
    <n v="190309.56"/>
    <n v="106263.09"/>
    <n v="35.83"/>
    <x v="1"/>
  </r>
  <r>
    <n v="1350"/>
    <s v="08-Apr-2024"/>
    <x v="7"/>
    <x v="3"/>
    <x v="0"/>
    <x v="4"/>
    <s v="Cycling Gear"/>
    <n v="137"/>
    <n v="3472"/>
    <n v="475664"/>
    <x v="4"/>
    <n v="428097.6"/>
    <n v="270532.42"/>
    <n v="157565.18"/>
    <n v="36.81"/>
    <x v="6"/>
  </r>
  <r>
    <n v="1623"/>
    <s v="23-Jul-2024"/>
    <x v="0"/>
    <x v="0"/>
    <x v="1"/>
    <x v="4"/>
    <s v="Yoga Mat"/>
    <n v="28"/>
    <n v="851"/>
    <n v="23828"/>
    <x v="0"/>
    <n v="22636.6"/>
    <n v="13505.96"/>
    <n v="9130.64"/>
    <n v="40.340000000000003"/>
    <x v="2"/>
  </r>
  <r>
    <n v="1698"/>
    <s v="23-Jul-2024"/>
    <x v="0"/>
    <x v="0"/>
    <x v="3"/>
    <x v="4"/>
    <s v="Yoga Mat"/>
    <n v="146"/>
    <n v="851"/>
    <n v="124246"/>
    <x v="2"/>
    <n v="99396.800000000003"/>
    <n v="59617.79"/>
    <n v="39779.01"/>
    <n v="40.020000000000003"/>
    <x v="2"/>
  </r>
  <r>
    <n v="2046"/>
    <s v="03-Nov-2024"/>
    <x v="10"/>
    <x v="2"/>
    <x v="0"/>
    <x v="4"/>
    <s v="Cricket Bat"/>
    <n v="134"/>
    <n v="1189"/>
    <n v="159326"/>
    <x v="1"/>
    <n v="135427.1"/>
    <n v="85699.29"/>
    <n v="49727.81"/>
    <n v="36.72"/>
    <x v="2"/>
  </r>
  <r>
    <n v="1445"/>
    <s v="26-May-2024"/>
    <x v="6"/>
    <x v="3"/>
    <x v="0"/>
    <x v="0"/>
    <s v="Condiments"/>
    <n v="108"/>
    <n v="84"/>
    <n v="9072"/>
    <x v="0"/>
    <n v="8618.4"/>
    <n v="5129.41"/>
    <n v="3488.99"/>
    <n v="40.479999999999997"/>
    <x v="2"/>
  </r>
  <r>
    <n v="1191"/>
    <s v="13-Feb-2024"/>
    <x v="1"/>
    <x v="1"/>
    <x v="3"/>
    <x v="0"/>
    <s v="Organic Snacks"/>
    <n v="69"/>
    <n v="205"/>
    <n v="14145"/>
    <x v="4"/>
    <n v="12730.5"/>
    <n v="8749.52"/>
    <n v="3980.98"/>
    <n v="31.27"/>
    <x v="5"/>
  </r>
  <r>
    <n v="1378"/>
    <s v="08-Apr-2024"/>
    <x v="7"/>
    <x v="3"/>
    <x v="3"/>
    <x v="1"/>
    <s v="Tablet"/>
    <n v="119"/>
    <n v="5180"/>
    <n v="616420"/>
    <x v="3"/>
    <n v="616420"/>
    <n v="387620.92"/>
    <n v="228799.08"/>
    <n v="37.119999999999997"/>
    <x v="3"/>
  </r>
  <r>
    <n v="1839"/>
    <s v="26-Sep-2024"/>
    <x v="9"/>
    <x v="0"/>
    <x v="0"/>
    <x v="2"/>
    <s v="Bed Frame"/>
    <n v="78"/>
    <n v="9669"/>
    <n v="754182"/>
    <x v="4"/>
    <n v="678763.8"/>
    <n v="410004.55"/>
    <n v="268759.25"/>
    <n v="39.6"/>
    <x v="6"/>
  </r>
  <r>
    <n v="1865"/>
    <s v="26-Sep-2024"/>
    <x v="9"/>
    <x v="0"/>
    <x v="2"/>
    <x v="2"/>
    <s v="Office Chair"/>
    <n v="82"/>
    <n v="4740"/>
    <n v="388680"/>
    <x v="0"/>
    <n v="369246"/>
    <n v="218852.67"/>
    <n v="150393.32999999999"/>
    <n v="40.729999999999997"/>
    <x v="6"/>
  </r>
  <r>
    <n v="2127"/>
    <s v="15-Dec-2024"/>
    <x v="4"/>
    <x v="2"/>
    <x v="0"/>
    <x v="1"/>
    <s v="Smartphone"/>
    <n v="192"/>
    <n v="8166"/>
    <n v="1567872"/>
    <x v="3"/>
    <n v="1567872"/>
    <n v="998292.66"/>
    <n v="569579.34"/>
    <n v="36.33"/>
    <x v="5"/>
  </r>
  <r>
    <n v="1275"/>
    <s v="08-Mar-2024"/>
    <x v="5"/>
    <x v="1"/>
    <x v="2"/>
    <x v="4"/>
    <s v="Cycling Gear"/>
    <n v="131"/>
    <n v="3481"/>
    <n v="456011"/>
    <x v="3"/>
    <n v="456011"/>
    <n v="302712.03999999998"/>
    <n v="153298.96"/>
    <n v="33.619999999999997"/>
    <x v="2"/>
  </r>
  <r>
    <n v="1488"/>
    <s v="26-May-2024"/>
    <x v="6"/>
    <x v="3"/>
    <x v="3"/>
    <x v="2"/>
    <s v="Wardrobe"/>
    <n v="121"/>
    <n v="14430"/>
    <n v="1746030"/>
    <x v="0"/>
    <n v="1658728.5"/>
    <n v="986373.42"/>
    <n v="672355.08"/>
    <n v="40.53"/>
    <x v="4"/>
  </r>
  <r>
    <n v="1553"/>
    <s v="07-Jun-2024"/>
    <x v="11"/>
    <x v="3"/>
    <x v="2"/>
    <x v="1"/>
    <s v="Tablet"/>
    <n v="128"/>
    <n v="5235"/>
    <n v="670080"/>
    <x v="4"/>
    <n v="603072"/>
    <n v="372646.44"/>
    <n v="230425.56"/>
    <n v="38.21"/>
    <x v="5"/>
  </r>
  <r>
    <n v="1457"/>
    <s v="26-May-2024"/>
    <x v="6"/>
    <x v="3"/>
    <x v="2"/>
    <x v="3"/>
    <s v="Jeans"/>
    <n v="112"/>
    <n v="1138"/>
    <n v="127456"/>
    <x v="3"/>
    <n v="127456"/>
    <n v="83774.98"/>
    <n v="43681.02"/>
    <n v="34.270000000000003"/>
    <x v="0"/>
  </r>
  <r>
    <n v="1502"/>
    <s v="07-Jun-2024"/>
    <x v="11"/>
    <x v="3"/>
    <x v="1"/>
    <x v="1"/>
    <s v="Smartphone"/>
    <n v="77"/>
    <n v="8125"/>
    <n v="625625"/>
    <x v="2"/>
    <n v="500500"/>
    <n v="334456.90000000002"/>
    <n v="166043.1"/>
    <n v="33.18"/>
    <x v="4"/>
  </r>
  <r>
    <n v="1810"/>
    <s v="26-Sep-2024"/>
    <x v="9"/>
    <x v="0"/>
    <x v="1"/>
    <x v="3"/>
    <s v="Shoes"/>
    <n v="123"/>
    <n v="1766"/>
    <n v="217218"/>
    <x v="0"/>
    <n v="206357.1"/>
    <n v="129522.39"/>
    <n v="76834.710000000006"/>
    <n v="37.229999999999997"/>
    <x v="1"/>
  </r>
  <r>
    <n v="1525"/>
    <s v="07-Jun-2024"/>
    <x v="11"/>
    <x v="3"/>
    <x v="1"/>
    <x v="4"/>
    <s v="Cycling Gear"/>
    <n v="103"/>
    <n v="3590"/>
    <n v="369770"/>
    <x v="1"/>
    <n v="314304.5"/>
    <n v="192837.22"/>
    <n v="121467.28"/>
    <n v="38.65"/>
    <x v="0"/>
  </r>
  <r>
    <n v="2130"/>
    <s v="15-Dec-2024"/>
    <x v="4"/>
    <x v="2"/>
    <x v="0"/>
    <x v="1"/>
    <s v="Smart TV"/>
    <n v="164"/>
    <n v="14240"/>
    <n v="2335360"/>
    <x v="4"/>
    <n v="2101824"/>
    <n v="1292910.3600000001"/>
    <n v="808913.64"/>
    <n v="38.49"/>
    <x v="5"/>
  </r>
  <r>
    <n v="1099"/>
    <s v="21-Jan-2024"/>
    <x v="8"/>
    <x v="1"/>
    <x v="3"/>
    <x v="4"/>
    <s v="Dumbbells"/>
    <n v="117"/>
    <n v="2014"/>
    <n v="235638"/>
    <x v="1"/>
    <n v="200292.3"/>
    <n v="127943.5"/>
    <n v="72348.800000000003"/>
    <n v="36.119999999999997"/>
    <x v="4"/>
  </r>
  <r>
    <n v="2113"/>
    <s v="15-Dec-2024"/>
    <x v="4"/>
    <x v="2"/>
    <x v="1"/>
    <x v="2"/>
    <s v="Wardrobe"/>
    <n v="152"/>
    <n v="13137"/>
    <n v="1996824"/>
    <x v="3"/>
    <n v="1996824"/>
    <n v="1283634.6299999999"/>
    <n v="713189.37"/>
    <n v="35.72"/>
    <x v="5"/>
  </r>
  <r>
    <n v="2139"/>
    <s v="15-Dec-2024"/>
    <x v="4"/>
    <x v="2"/>
    <x v="0"/>
    <x v="2"/>
    <s v="Bed Frame"/>
    <n v="99"/>
    <n v="10382"/>
    <n v="1027818"/>
    <x v="3"/>
    <n v="1027818"/>
    <n v="611025.98"/>
    <n v="416792.02"/>
    <n v="40.549999999999997"/>
    <x v="6"/>
  </r>
  <r>
    <n v="1443"/>
    <s v="26-May-2024"/>
    <x v="6"/>
    <x v="3"/>
    <x v="0"/>
    <x v="0"/>
    <s v="Dairy Products"/>
    <n v="131"/>
    <n v="108"/>
    <n v="14148"/>
    <x v="1"/>
    <n v="12025.8"/>
    <n v="7313.73"/>
    <n v="4712.07"/>
    <n v="39.18"/>
    <x v="1"/>
  </r>
  <r>
    <n v="1917"/>
    <s v="27-Oct-2024"/>
    <x v="3"/>
    <x v="2"/>
    <x v="1"/>
    <x v="0"/>
    <s v="Beverages"/>
    <n v="32"/>
    <n v="85"/>
    <n v="2720"/>
    <x v="1"/>
    <n v="2312"/>
    <n v="1298.82"/>
    <n v="1013.18"/>
    <n v="43.82"/>
    <x v="4"/>
  </r>
  <r>
    <n v="1979"/>
    <s v="27-Oct-2024"/>
    <x v="3"/>
    <x v="2"/>
    <x v="3"/>
    <x v="1"/>
    <s v="Headphones"/>
    <n v="94"/>
    <n v="791"/>
    <n v="74354"/>
    <x v="3"/>
    <n v="74354"/>
    <n v="43624.01"/>
    <n v="30729.99"/>
    <n v="41.33"/>
    <x v="6"/>
  </r>
  <r>
    <n v="1957"/>
    <s v="27-Oct-2024"/>
    <x v="3"/>
    <x v="2"/>
    <x v="2"/>
    <x v="3"/>
    <s v="Jeans"/>
    <n v="141"/>
    <n v="1170"/>
    <n v="164970"/>
    <x v="1"/>
    <n v="140224.5"/>
    <n v="87460.38"/>
    <n v="52764.12"/>
    <n v="37.630000000000003"/>
    <x v="7"/>
  </r>
  <r>
    <n v="1584"/>
    <s v="07-Jun-2024"/>
    <x v="11"/>
    <x v="3"/>
    <x v="3"/>
    <x v="3"/>
    <s v="Dresses"/>
    <n v="159"/>
    <n v="1462"/>
    <n v="232458"/>
    <x v="1"/>
    <n v="197589.3"/>
    <n v="126042.71"/>
    <n v="71546.59"/>
    <n v="36.21"/>
    <x v="3"/>
  </r>
  <r>
    <n v="1806"/>
    <s v="26-Sep-2024"/>
    <x v="9"/>
    <x v="0"/>
    <x v="1"/>
    <x v="3"/>
    <s v="T-Shirts"/>
    <n v="129"/>
    <n v="510"/>
    <n v="65790"/>
    <x v="3"/>
    <n v="65790"/>
    <n v="42503.21"/>
    <n v="23286.79"/>
    <n v="35.4"/>
    <x v="2"/>
  </r>
  <r>
    <n v="1413"/>
    <s v="26-May-2024"/>
    <x v="6"/>
    <x v="3"/>
    <x v="1"/>
    <x v="2"/>
    <s v="Wardrobe"/>
    <n v="160"/>
    <n v="13638"/>
    <n v="2182080"/>
    <x v="1"/>
    <n v="1854768"/>
    <n v="1032841.13"/>
    <n v="821926.87"/>
    <n v="44.31"/>
    <x v="5"/>
  </r>
  <r>
    <n v="1167"/>
    <s v="13-Feb-2024"/>
    <x v="1"/>
    <x v="1"/>
    <x v="2"/>
    <x v="0"/>
    <s v="Beverages"/>
    <n v="57"/>
    <n v="83"/>
    <n v="4731"/>
    <x v="3"/>
    <n v="4731"/>
    <n v="3206.51"/>
    <n v="1524.49"/>
    <n v="32.22"/>
    <x v="0"/>
  </r>
  <r>
    <n v="1214"/>
    <s v="08-Mar-2024"/>
    <x v="5"/>
    <x v="1"/>
    <x v="1"/>
    <x v="2"/>
    <s v="Bed Frame"/>
    <n v="73"/>
    <n v="10655"/>
    <n v="777815"/>
    <x v="1"/>
    <n v="661142.75"/>
    <n v="404882.79"/>
    <n v="256259.96"/>
    <n v="38.76"/>
    <x v="1"/>
  </r>
  <r>
    <n v="1772"/>
    <s v="23-Aug-2024"/>
    <x v="2"/>
    <x v="0"/>
    <x v="2"/>
    <x v="4"/>
    <s v="Football"/>
    <n v="148"/>
    <n v="572"/>
    <n v="84656"/>
    <x v="3"/>
    <n v="84656"/>
    <n v="51343.77"/>
    <n v="33312.230000000003"/>
    <n v="39.35"/>
    <x v="0"/>
  </r>
  <r>
    <n v="1664"/>
    <s v="23-Jul-2024"/>
    <x v="0"/>
    <x v="0"/>
    <x v="2"/>
    <x v="2"/>
    <s v="Bed Frame"/>
    <n v="172"/>
    <n v="10836"/>
    <n v="1863792"/>
    <x v="1"/>
    <n v="1584223.2"/>
    <n v="875867.44"/>
    <n v="708355.76"/>
    <n v="44.71"/>
    <x v="5"/>
  </r>
  <r>
    <n v="1562"/>
    <s v="07-Jun-2024"/>
    <x v="11"/>
    <x v="3"/>
    <x v="2"/>
    <x v="2"/>
    <s v="Dining Table"/>
    <n v="42"/>
    <n v="12777"/>
    <n v="536634"/>
    <x v="4"/>
    <n v="482970.6"/>
    <n v="315352.17"/>
    <n v="167618.43"/>
    <n v="34.71"/>
    <x v="1"/>
  </r>
  <r>
    <n v="1920"/>
    <s v="27-Oct-2024"/>
    <x v="3"/>
    <x v="2"/>
    <x v="1"/>
    <x v="0"/>
    <s v="Condiments"/>
    <n v="35"/>
    <n v="90"/>
    <n v="3150"/>
    <x v="4"/>
    <n v="2835"/>
    <n v="1788.86"/>
    <n v="1046.1400000000001"/>
    <n v="36.9"/>
    <x v="7"/>
  </r>
  <r>
    <n v="1183"/>
    <s v="13-Feb-2024"/>
    <x v="1"/>
    <x v="1"/>
    <x v="3"/>
    <x v="3"/>
    <s v="Jackets"/>
    <n v="20"/>
    <n v="1946"/>
    <n v="38920"/>
    <x v="3"/>
    <n v="38920"/>
    <n v="21932.2"/>
    <n v="16987.8"/>
    <n v="43.65"/>
    <x v="6"/>
  </r>
  <r>
    <n v="1867"/>
    <s v="26-Sep-2024"/>
    <x v="9"/>
    <x v="0"/>
    <x v="2"/>
    <x v="0"/>
    <s v="Beverages"/>
    <n v="113"/>
    <n v="82"/>
    <n v="9266"/>
    <x v="0"/>
    <n v="8802.7000000000007"/>
    <n v="5766.39"/>
    <n v="3036.31"/>
    <n v="34.49"/>
    <x v="2"/>
  </r>
  <r>
    <n v="1409"/>
    <s v="26-May-2024"/>
    <x v="6"/>
    <x v="3"/>
    <x v="1"/>
    <x v="3"/>
    <s v="Dresses"/>
    <n v="135"/>
    <n v="1576"/>
    <n v="212760"/>
    <x v="0"/>
    <n v="202122"/>
    <n v="132257.31"/>
    <n v="69864.69"/>
    <n v="34.57"/>
    <x v="5"/>
  </r>
  <r>
    <n v="1095"/>
    <s v="21-Jan-2024"/>
    <x v="8"/>
    <x v="1"/>
    <x v="3"/>
    <x v="0"/>
    <s v="Condiments"/>
    <n v="105"/>
    <n v="95"/>
    <n v="9975"/>
    <x v="1"/>
    <n v="8478.75"/>
    <n v="5269.94"/>
    <n v="3208.81"/>
    <n v="37.85"/>
    <x v="3"/>
  </r>
  <r>
    <n v="1680"/>
    <s v="23-Jul-2024"/>
    <x v="0"/>
    <x v="0"/>
    <x v="3"/>
    <x v="1"/>
    <s v="Smart TV"/>
    <n v="150"/>
    <n v="16171"/>
    <n v="2425650"/>
    <x v="3"/>
    <n v="2425650"/>
    <n v="1644105.11"/>
    <n v="781544.89"/>
    <n v="32.22"/>
    <x v="7"/>
  </r>
  <r>
    <n v="1073"/>
    <s v="21-Jan-2024"/>
    <x v="8"/>
    <x v="1"/>
    <x v="2"/>
    <x v="4"/>
    <s v="Yoga Mat"/>
    <n v="58"/>
    <n v="812"/>
    <n v="47096"/>
    <x v="0"/>
    <n v="44741.2"/>
    <n v="24905.55"/>
    <n v="19835.650000000001"/>
    <n v="44.33"/>
    <x v="0"/>
  </r>
  <r>
    <n v="1985"/>
    <s v="27-Oct-2024"/>
    <x v="3"/>
    <x v="2"/>
    <x v="3"/>
    <x v="3"/>
    <s v="Shoes"/>
    <n v="151"/>
    <n v="1893"/>
    <n v="285843"/>
    <x v="3"/>
    <n v="285843"/>
    <n v="169769.28"/>
    <n v="116073.72"/>
    <n v="40.61"/>
    <x v="7"/>
  </r>
  <r>
    <n v="1331"/>
    <s v="08-Apr-2024"/>
    <x v="7"/>
    <x v="3"/>
    <x v="0"/>
    <x v="3"/>
    <s v="T-Shirts"/>
    <n v="80"/>
    <n v="459"/>
    <n v="36720"/>
    <x v="1"/>
    <n v="31212"/>
    <n v="19532.990000000002"/>
    <n v="11679.01"/>
    <n v="37.42"/>
    <x v="5"/>
  </r>
  <r>
    <n v="1650"/>
    <s v="23-Jul-2024"/>
    <x v="0"/>
    <x v="0"/>
    <x v="0"/>
    <x v="4"/>
    <s v="Cycling Gear"/>
    <n v="81"/>
    <n v="3771"/>
    <n v="305451"/>
    <x v="4"/>
    <n v="274905.90000000002"/>
    <n v="161942.64000000001"/>
    <n v="112963.26"/>
    <n v="41.09"/>
    <x v="6"/>
  </r>
  <r>
    <n v="1050"/>
    <s v="21-Jan-2024"/>
    <x v="8"/>
    <x v="1"/>
    <x v="0"/>
    <x v="4"/>
    <s v="Cycling Gear"/>
    <n v="28"/>
    <n v="3602"/>
    <n v="100856"/>
    <x v="2"/>
    <n v="80684.800000000003"/>
    <n v="48203.24"/>
    <n v="32481.56"/>
    <n v="40.26"/>
    <x v="1"/>
  </r>
  <r>
    <n v="1217"/>
    <s v="08-Mar-2024"/>
    <x v="5"/>
    <x v="1"/>
    <x v="1"/>
    <x v="0"/>
    <s v="Beverages"/>
    <n v="75"/>
    <n v="84"/>
    <n v="6300"/>
    <x v="4"/>
    <n v="5670"/>
    <n v="3808.91"/>
    <n v="1861.09"/>
    <n v="32.82"/>
    <x v="4"/>
  </r>
  <r>
    <n v="1333"/>
    <s v="08-Apr-2024"/>
    <x v="7"/>
    <x v="3"/>
    <x v="0"/>
    <x v="3"/>
    <s v="Jackets"/>
    <n v="54"/>
    <n v="1803"/>
    <n v="97362"/>
    <x v="3"/>
    <n v="97362"/>
    <n v="59842.5"/>
    <n v="37519.5"/>
    <n v="38.54"/>
    <x v="6"/>
  </r>
  <r>
    <n v="1464"/>
    <s v="26-May-2024"/>
    <x v="6"/>
    <x v="3"/>
    <x v="2"/>
    <x v="2"/>
    <s v="Bed Frame"/>
    <n v="88"/>
    <n v="10359"/>
    <n v="911592"/>
    <x v="3"/>
    <n v="911592"/>
    <n v="548546.03"/>
    <n v="363045.97"/>
    <n v="39.83"/>
    <x v="4"/>
  </r>
  <r>
    <n v="1045"/>
    <s v="21-Jan-2024"/>
    <x v="8"/>
    <x v="1"/>
    <x v="0"/>
    <x v="0"/>
    <s v="Condiments"/>
    <n v="89"/>
    <n v="82"/>
    <n v="7298"/>
    <x v="2"/>
    <n v="5838.4"/>
    <n v="3651.5"/>
    <n v="2186.9"/>
    <n v="37.46"/>
    <x v="7"/>
  </r>
  <r>
    <n v="1939"/>
    <s v="27-Oct-2024"/>
    <x v="3"/>
    <x v="2"/>
    <x v="0"/>
    <x v="2"/>
    <s v="Bed Frame"/>
    <n v="66"/>
    <n v="10767"/>
    <n v="710622"/>
    <x v="1"/>
    <n v="604028.69999999995"/>
    <n v="353160.66"/>
    <n v="250868.04"/>
    <n v="41.53"/>
    <x v="0"/>
  </r>
  <r>
    <n v="1684"/>
    <s v="23-Jul-2024"/>
    <x v="0"/>
    <x v="0"/>
    <x v="3"/>
    <x v="3"/>
    <s v="Dresses"/>
    <n v="39"/>
    <n v="1559"/>
    <n v="60801"/>
    <x v="3"/>
    <n v="60801"/>
    <n v="42392.61"/>
    <n v="18408.39"/>
    <n v="30.28"/>
    <x v="7"/>
  </r>
  <r>
    <n v="2154"/>
    <s v="15-Dec-2024"/>
    <x v="4"/>
    <x v="2"/>
    <x v="2"/>
    <x v="1"/>
    <s v="Headphones"/>
    <n v="165"/>
    <n v="846"/>
    <n v="139590"/>
    <x v="2"/>
    <n v="111672"/>
    <n v="71358.81"/>
    <n v="40313.19"/>
    <n v="36.1"/>
    <x v="2"/>
  </r>
  <r>
    <n v="1743"/>
    <s v="23-Aug-2024"/>
    <x v="2"/>
    <x v="0"/>
    <x v="0"/>
    <x v="0"/>
    <s v="Dairy Products"/>
    <n v="63"/>
    <n v="117"/>
    <n v="7371"/>
    <x v="3"/>
    <n v="7371"/>
    <n v="4645.3900000000003"/>
    <n v="2725.61"/>
    <n v="36.979999999999997"/>
    <x v="1"/>
  </r>
  <r>
    <n v="1492"/>
    <s v="26-May-2024"/>
    <x v="6"/>
    <x v="3"/>
    <x v="3"/>
    <x v="0"/>
    <s v="Beverages"/>
    <n v="98"/>
    <n v="81"/>
    <n v="7938"/>
    <x v="3"/>
    <n v="7938"/>
    <n v="4751.2700000000004"/>
    <n v="3186.73"/>
    <n v="40.15"/>
    <x v="6"/>
  </r>
  <r>
    <n v="1472"/>
    <s v="26-May-2024"/>
    <x v="6"/>
    <x v="3"/>
    <x v="2"/>
    <x v="4"/>
    <s v="Football"/>
    <n v="86"/>
    <n v="592"/>
    <n v="50912"/>
    <x v="3"/>
    <n v="50912"/>
    <n v="33383.519999999997"/>
    <n v="17528.48"/>
    <n v="34.43"/>
    <x v="5"/>
  </r>
  <r>
    <n v="1084"/>
    <s v="21-Jan-2024"/>
    <x v="8"/>
    <x v="1"/>
    <x v="3"/>
    <x v="3"/>
    <s v="Dresses"/>
    <n v="90"/>
    <n v="1465"/>
    <n v="131850"/>
    <x v="1"/>
    <n v="112072.5"/>
    <n v="65741.47"/>
    <n v="46331.03"/>
    <n v="41.34"/>
    <x v="4"/>
  </r>
  <r>
    <n v="1761"/>
    <s v="23-Aug-2024"/>
    <x v="2"/>
    <x v="0"/>
    <x v="2"/>
    <x v="2"/>
    <s v="Sofa"/>
    <n v="120"/>
    <n v="16495"/>
    <n v="1979400"/>
    <x v="0"/>
    <n v="1880430"/>
    <n v="1276449.1399999999"/>
    <n v="603980.86"/>
    <n v="32.119999999999997"/>
    <x v="7"/>
  </r>
  <r>
    <n v="2061"/>
    <s v="03-Nov-2024"/>
    <x v="10"/>
    <x v="2"/>
    <x v="2"/>
    <x v="2"/>
    <s v="Sofa"/>
    <n v="122"/>
    <n v="19078"/>
    <n v="2327516"/>
    <x v="3"/>
    <n v="2327516"/>
    <n v="1399831.43"/>
    <n v="927684.57"/>
    <n v="39.86"/>
    <x v="1"/>
  </r>
  <r>
    <n v="1951"/>
    <s v="27-Oct-2024"/>
    <x v="3"/>
    <x v="2"/>
    <x v="2"/>
    <x v="1"/>
    <s v="Laptop"/>
    <n v="132"/>
    <n v="12156"/>
    <n v="1604592"/>
    <x v="3"/>
    <n v="1604592"/>
    <n v="958943.38"/>
    <n v="645648.62"/>
    <n v="40.24"/>
    <x v="1"/>
  </r>
  <r>
    <n v="2196"/>
    <s v="15-Dec-2024"/>
    <x v="4"/>
    <x v="2"/>
    <x v="3"/>
    <x v="4"/>
    <s v="Cricket Bat"/>
    <n v="203"/>
    <n v="1223"/>
    <n v="248269"/>
    <x v="4"/>
    <n v="223442.1"/>
    <n v="128664.9"/>
    <n v="94777.2"/>
    <n v="42.42"/>
    <x v="6"/>
  </r>
  <r>
    <n v="1404"/>
    <s v="26-May-2024"/>
    <x v="6"/>
    <x v="3"/>
    <x v="1"/>
    <x v="1"/>
    <s v="Headphones"/>
    <n v="168"/>
    <n v="809"/>
    <n v="135912"/>
    <x v="3"/>
    <n v="135912"/>
    <n v="82670.22"/>
    <n v="53241.78"/>
    <n v="39.17"/>
    <x v="6"/>
  </r>
  <r>
    <n v="1874"/>
    <s v="26-Sep-2024"/>
    <x v="9"/>
    <x v="0"/>
    <x v="2"/>
    <x v="4"/>
    <s v="Dumbbells"/>
    <n v="49"/>
    <n v="2137"/>
    <n v="104713"/>
    <x v="1"/>
    <n v="89006.05"/>
    <n v="60011.24"/>
    <n v="28994.81"/>
    <n v="32.58"/>
    <x v="1"/>
  </r>
  <r>
    <n v="1292"/>
    <s v="08-Mar-2024"/>
    <x v="5"/>
    <x v="1"/>
    <x v="3"/>
    <x v="0"/>
    <s v="Beverages"/>
    <n v="49"/>
    <n v="85"/>
    <n v="4165"/>
    <x v="1"/>
    <n v="3540.25"/>
    <n v="2419.4899999999998"/>
    <n v="1120.76"/>
    <n v="31.66"/>
    <x v="2"/>
  </r>
  <r>
    <n v="2157"/>
    <s v="15-Dec-2024"/>
    <x v="4"/>
    <x v="2"/>
    <x v="2"/>
    <x v="3"/>
    <s v="Jeans"/>
    <n v="61"/>
    <n v="1148"/>
    <n v="70028"/>
    <x v="3"/>
    <n v="70028"/>
    <n v="45013.62"/>
    <n v="25014.38"/>
    <n v="35.72"/>
    <x v="7"/>
  </r>
  <r>
    <n v="1097"/>
    <s v="21-Jan-2024"/>
    <x v="8"/>
    <x v="1"/>
    <x v="3"/>
    <x v="4"/>
    <s v="Football"/>
    <n v="66"/>
    <n v="573"/>
    <n v="37818"/>
    <x v="2"/>
    <n v="30254.400000000001"/>
    <n v="16771.64"/>
    <n v="13482.76"/>
    <n v="44.56"/>
    <x v="3"/>
  </r>
  <r>
    <n v="1511"/>
    <s v="07-Jun-2024"/>
    <x v="11"/>
    <x v="3"/>
    <x v="1"/>
    <x v="2"/>
    <s v="Sofa"/>
    <n v="40"/>
    <n v="17523"/>
    <n v="700920"/>
    <x v="0"/>
    <n v="665874"/>
    <n v="379927.32"/>
    <n v="285946.68"/>
    <n v="42.94"/>
    <x v="7"/>
  </r>
  <r>
    <n v="1970"/>
    <s v="27-Oct-2024"/>
    <x v="3"/>
    <x v="2"/>
    <x v="2"/>
    <x v="0"/>
    <s v="Condiments"/>
    <n v="66"/>
    <n v="93"/>
    <n v="6138"/>
    <x v="3"/>
    <n v="6138"/>
    <n v="4037.31"/>
    <n v="2100.69"/>
    <n v="34.22"/>
    <x v="1"/>
  </r>
  <r>
    <n v="1079"/>
    <s v="21-Jan-2024"/>
    <x v="8"/>
    <x v="1"/>
    <x v="3"/>
    <x v="1"/>
    <s v="Headphones"/>
    <n v="47"/>
    <n v="754"/>
    <n v="35438"/>
    <x v="4"/>
    <n v="31894.2"/>
    <n v="19766.37"/>
    <n v="12127.83"/>
    <n v="38.03"/>
    <x v="2"/>
  </r>
  <r>
    <n v="1427"/>
    <s v="26-May-2024"/>
    <x v="6"/>
    <x v="3"/>
    <x v="0"/>
    <x v="1"/>
    <s v="Smartphone"/>
    <n v="68"/>
    <n v="7962"/>
    <n v="541416"/>
    <x v="3"/>
    <n v="541416"/>
    <n v="354858.54"/>
    <n v="186557.46"/>
    <n v="34.46"/>
    <x v="1"/>
  </r>
  <r>
    <n v="1795"/>
    <s v="23-Aug-2024"/>
    <x v="2"/>
    <x v="0"/>
    <x v="3"/>
    <x v="0"/>
    <s v="Condiments"/>
    <n v="115"/>
    <n v="93"/>
    <n v="10695"/>
    <x v="4"/>
    <n v="9625.5"/>
    <n v="5884.33"/>
    <n v="3741.17"/>
    <n v="38.869999999999997"/>
    <x v="1"/>
  </r>
  <r>
    <n v="2095"/>
    <s v="03-Nov-2024"/>
    <x v="10"/>
    <x v="2"/>
    <x v="3"/>
    <x v="0"/>
    <s v="Condiments"/>
    <n v="117"/>
    <n v="82"/>
    <n v="9594"/>
    <x v="0"/>
    <n v="9114.2999999999993"/>
    <n v="5696.01"/>
    <n v="3418.29"/>
    <n v="37.5"/>
    <x v="2"/>
  </r>
  <r>
    <n v="2082"/>
    <s v="03-Nov-2024"/>
    <x v="10"/>
    <x v="2"/>
    <x v="3"/>
    <x v="3"/>
    <s v="Jeans"/>
    <n v="47"/>
    <n v="1210"/>
    <n v="56870"/>
    <x v="1"/>
    <n v="48339.5"/>
    <n v="28170.23"/>
    <n v="20169.27"/>
    <n v="41.72"/>
    <x v="1"/>
  </r>
  <r>
    <n v="1005"/>
    <s v="21-Jan-2024"/>
    <x v="8"/>
    <x v="1"/>
    <x v="1"/>
    <x v="1"/>
    <s v="Smart TV"/>
    <n v="97"/>
    <n v="14521"/>
    <n v="1408537"/>
    <x v="3"/>
    <n v="1408537"/>
    <n v="820186.96"/>
    <n v="588350.04"/>
    <n v="41.77"/>
    <x v="3"/>
  </r>
  <r>
    <n v="1598"/>
    <s v="07-Jun-2024"/>
    <x v="11"/>
    <x v="3"/>
    <x v="3"/>
    <x v="4"/>
    <s v="Yoga Mat"/>
    <n v="45"/>
    <n v="732"/>
    <n v="32940"/>
    <x v="3"/>
    <n v="32940"/>
    <n v="19786.810000000001"/>
    <n v="13153.19"/>
    <n v="39.93"/>
    <x v="2"/>
  </r>
  <r>
    <n v="1710"/>
    <s v="23-Aug-2024"/>
    <x v="2"/>
    <x v="0"/>
    <x v="1"/>
    <x v="3"/>
    <s v="Shoes"/>
    <n v="176"/>
    <n v="1783"/>
    <n v="313808"/>
    <x v="3"/>
    <n v="313808"/>
    <n v="179098.7"/>
    <n v="134709.29999999999"/>
    <n v="42.93"/>
    <x v="6"/>
  </r>
  <r>
    <n v="1600"/>
    <s v="07-Jun-2024"/>
    <x v="11"/>
    <x v="3"/>
    <x v="3"/>
    <x v="4"/>
    <s v="Cycling Gear"/>
    <n v="44"/>
    <n v="3221"/>
    <n v="141724"/>
    <x v="0"/>
    <n v="134637.79999999999"/>
    <n v="93729.42"/>
    <n v="40908.379999999997"/>
    <n v="30.38"/>
    <x v="0"/>
  </r>
  <r>
    <n v="1577"/>
    <s v="07-Jun-2024"/>
    <x v="11"/>
    <x v="3"/>
    <x v="3"/>
    <x v="1"/>
    <s v="Smartphone"/>
    <n v="47"/>
    <n v="8148"/>
    <n v="382956"/>
    <x v="4"/>
    <n v="344660.4"/>
    <n v="236815.13"/>
    <n v="107845.27"/>
    <n v="31.29"/>
    <x v="4"/>
  </r>
  <r>
    <n v="1244"/>
    <s v="08-Mar-2024"/>
    <x v="5"/>
    <x v="1"/>
    <x v="0"/>
    <x v="0"/>
    <s v="Frozen Foods"/>
    <n v="68"/>
    <n v="152"/>
    <n v="10336"/>
    <x v="2"/>
    <n v="8268.7999999999993"/>
    <n v="5392.66"/>
    <n v="2876.14"/>
    <n v="34.78"/>
    <x v="3"/>
  </r>
  <r>
    <n v="1521"/>
    <s v="07-Jun-2024"/>
    <x v="11"/>
    <x v="3"/>
    <x v="1"/>
    <x v="4"/>
    <s v="Cricket Bat"/>
    <n v="107"/>
    <n v="1315"/>
    <n v="140705"/>
    <x v="4"/>
    <n v="126634.5"/>
    <n v="87389.03"/>
    <n v="39245.47"/>
    <n v="30.99"/>
    <x v="7"/>
  </r>
  <r>
    <n v="1760"/>
    <s v="23-Aug-2024"/>
    <x v="2"/>
    <x v="0"/>
    <x v="2"/>
    <x v="3"/>
    <s v="Shoes"/>
    <n v="89"/>
    <n v="1899"/>
    <n v="169011"/>
    <x v="2"/>
    <n v="135208.79999999999"/>
    <n v="85553.47"/>
    <n v="49655.33"/>
    <n v="36.72"/>
    <x v="7"/>
  </r>
  <r>
    <n v="1722"/>
    <s v="23-Aug-2024"/>
    <x v="2"/>
    <x v="0"/>
    <x v="1"/>
    <x v="4"/>
    <s v="Football"/>
    <n v="26"/>
    <n v="570"/>
    <n v="14820"/>
    <x v="2"/>
    <n v="11856"/>
    <n v="7996.84"/>
    <n v="3859.16"/>
    <n v="32.549999999999997"/>
    <x v="3"/>
  </r>
  <r>
    <n v="1291"/>
    <s v="08-Mar-2024"/>
    <x v="5"/>
    <x v="1"/>
    <x v="3"/>
    <x v="0"/>
    <s v="Organic Snacks"/>
    <n v="51"/>
    <n v="214"/>
    <n v="10914"/>
    <x v="3"/>
    <n v="10914"/>
    <n v="7420.1"/>
    <n v="3493.9"/>
    <n v="32.01"/>
    <x v="3"/>
  </r>
  <r>
    <n v="1737"/>
    <s v="23-Aug-2024"/>
    <x v="2"/>
    <x v="0"/>
    <x v="0"/>
    <x v="2"/>
    <s v="Dining Table"/>
    <n v="64"/>
    <n v="10998"/>
    <n v="703872"/>
    <x v="3"/>
    <n v="703872"/>
    <n v="404803.28"/>
    <n v="299068.71999999997"/>
    <n v="42.49"/>
    <x v="4"/>
  </r>
  <r>
    <n v="1096"/>
    <s v="21-Jan-2024"/>
    <x v="8"/>
    <x v="1"/>
    <x v="3"/>
    <x v="4"/>
    <s v="Cricket Bat"/>
    <n v="47"/>
    <n v="1174"/>
    <n v="55178"/>
    <x v="1"/>
    <n v="46901.3"/>
    <n v="29582.2"/>
    <n v="17319.099999999999"/>
    <n v="36.93"/>
    <x v="5"/>
  </r>
  <r>
    <n v="1358"/>
    <s v="08-Apr-2024"/>
    <x v="7"/>
    <x v="3"/>
    <x v="2"/>
    <x v="3"/>
    <s v="Jackets"/>
    <n v="39"/>
    <n v="2046"/>
    <n v="79794"/>
    <x v="0"/>
    <n v="75804.3"/>
    <n v="44449.27"/>
    <n v="31355.03"/>
    <n v="41.36"/>
    <x v="5"/>
  </r>
  <r>
    <n v="1127"/>
    <s v="13-Feb-2024"/>
    <x v="1"/>
    <x v="1"/>
    <x v="0"/>
    <x v="1"/>
    <s v="Smartphone"/>
    <n v="44"/>
    <n v="8759"/>
    <n v="385396"/>
    <x v="0"/>
    <n v="366126.2"/>
    <n v="239670.83"/>
    <n v="126455.37"/>
    <n v="34.54"/>
    <x v="7"/>
  </r>
  <r>
    <n v="1152"/>
    <s v="13-Feb-2024"/>
    <x v="1"/>
    <x v="1"/>
    <x v="2"/>
    <x v="1"/>
    <s v="Smartphone"/>
    <n v="48"/>
    <n v="7410"/>
    <n v="355680"/>
    <x v="0"/>
    <n v="337896"/>
    <n v="208048.45"/>
    <n v="129847.55"/>
    <n v="38.43"/>
    <x v="2"/>
  </r>
  <r>
    <n v="1913"/>
    <s v="27-Oct-2024"/>
    <x v="3"/>
    <x v="2"/>
    <x v="1"/>
    <x v="2"/>
    <s v="Wardrobe"/>
    <n v="42"/>
    <n v="13889"/>
    <n v="583338"/>
    <x v="3"/>
    <n v="583338"/>
    <n v="332946.71000000002"/>
    <n v="250391.29"/>
    <n v="42.92"/>
    <x v="3"/>
  </r>
  <r>
    <n v="2106"/>
    <s v="15-Dec-2024"/>
    <x v="4"/>
    <x v="2"/>
    <x v="1"/>
    <x v="3"/>
    <s v="T-Shirts"/>
    <n v="182"/>
    <n v="505"/>
    <n v="91910"/>
    <x v="2"/>
    <n v="73528"/>
    <n v="43127.61"/>
    <n v="30400.39"/>
    <n v="41.35"/>
    <x v="4"/>
  </r>
  <r>
    <n v="1469"/>
    <s v="26-May-2024"/>
    <x v="6"/>
    <x v="3"/>
    <x v="2"/>
    <x v="0"/>
    <s v="Frozen Foods"/>
    <n v="119"/>
    <n v="140"/>
    <n v="16660"/>
    <x v="0"/>
    <n v="15827"/>
    <n v="9929.85"/>
    <n v="5897.15"/>
    <n v="37.26"/>
    <x v="7"/>
  </r>
  <r>
    <n v="1497"/>
    <s v="26-May-2024"/>
    <x v="6"/>
    <x v="3"/>
    <x v="3"/>
    <x v="4"/>
    <s v="Football"/>
    <n v="82"/>
    <n v="616"/>
    <n v="50512"/>
    <x v="3"/>
    <n v="50512"/>
    <n v="30833.919999999998"/>
    <n v="19678.080000000002"/>
    <n v="38.96"/>
    <x v="6"/>
  </r>
  <r>
    <n v="1575"/>
    <s v="07-Jun-2024"/>
    <x v="11"/>
    <x v="3"/>
    <x v="2"/>
    <x v="4"/>
    <s v="Cycling Gear"/>
    <n v="169"/>
    <n v="3220"/>
    <n v="544180"/>
    <x v="0"/>
    <n v="516971"/>
    <n v="305002.06"/>
    <n v="211968.94"/>
    <n v="41"/>
    <x v="4"/>
  </r>
  <r>
    <n v="1366"/>
    <s v="08-Apr-2024"/>
    <x v="7"/>
    <x v="3"/>
    <x v="2"/>
    <x v="0"/>
    <s v="Organic Snacks"/>
    <n v="61"/>
    <n v="204"/>
    <n v="12444"/>
    <x v="4"/>
    <n v="11199.6"/>
    <n v="6637.83"/>
    <n v="4561.7700000000004"/>
    <n v="40.729999999999997"/>
    <x v="2"/>
  </r>
  <r>
    <n v="1453"/>
    <s v="26-May-2024"/>
    <x v="6"/>
    <x v="3"/>
    <x v="2"/>
    <x v="1"/>
    <s v="Tablet"/>
    <n v="139"/>
    <n v="4893"/>
    <n v="680127"/>
    <x v="3"/>
    <n v="680127"/>
    <n v="469158.46"/>
    <n v="210968.54"/>
    <n v="31.02"/>
    <x v="5"/>
  </r>
  <r>
    <n v="2099"/>
    <s v="03-Nov-2024"/>
    <x v="10"/>
    <x v="2"/>
    <x v="3"/>
    <x v="4"/>
    <s v="Dumbbells"/>
    <n v="116"/>
    <n v="1808"/>
    <n v="209728"/>
    <x v="3"/>
    <n v="209728"/>
    <n v="122985"/>
    <n v="86743"/>
    <n v="41.36"/>
    <x v="7"/>
  </r>
  <r>
    <n v="1900"/>
    <s v="26-Sep-2024"/>
    <x v="9"/>
    <x v="0"/>
    <x v="3"/>
    <x v="4"/>
    <s v="Cycling Gear"/>
    <n v="70"/>
    <n v="3670"/>
    <n v="256900"/>
    <x v="1"/>
    <n v="218365"/>
    <n v="147026.01999999999"/>
    <n v="71338.98"/>
    <n v="32.67"/>
    <x v="4"/>
  </r>
  <r>
    <n v="1119"/>
    <s v="13-Feb-2024"/>
    <x v="1"/>
    <x v="1"/>
    <x v="1"/>
    <x v="0"/>
    <s v="Frozen Foods"/>
    <n v="29"/>
    <n v="157"/>
    <n v="4553"/>
    <x v="2"/>
    <n v="3642.4"/>
    <n v="2306.65"/>
    <n v="1335.75"/>
    <n v="36.67"/>
    <x v="5"/>
  </r>
  <r>
    <n v="1851"/>
    <s v="26-Sep-2024"/>
    <x v="9"/>
    <x v="0"/>
    <x v="2"/>
    <x v="1"/>
    <s v="Laptop"/>
    <n v="132"/>
    <n v="12058"/>
    <n v="1591656"/>
    <x v="3"/>
    <n v="1591656"/>
    <n v="900223.54"/>
    <n v="691432.46"/>
    <n v="43.44"/>
    <x v="7"/>
  </r>
  <r>
    <n v="1479"/>
    <s v="26-May-2024"/>
    <x v="6"/>
    <x v="3"/>
    <x v="3"/>
    <x v="1"/>
    <s v="Headphones"/>
    <n v="102"/>
    <n v="812"/>
    <n v="82824"/>
    <x v="1"/>
    <n v="70400.399999999994"/>
    <n v="40681.79"/>
    <n v="29718.61"/>
    <n v="42.21"/>
    <x v="7"/>
  </r>
  <r>
    <n v="1168"/>
    <s v="13-Feb-2024"/>
    <x v="1"/>
    <x v="1"/>
    <x v="2"/>
    <x v="0"/>
    <s v="Dairy Products"/>
    <n v="128"/>
    <n v="123"/>
    <n v="15744"/>
    <x v="2"/>
    <n v="12595.2"/>
    <n v="8575.5400000000009"/>
    <n v="4019.66"/>
    <n v="31.91"/>
    <x v="4"/>
  </r>
  <r>
    <n v="1659"/>
    <s v="23-Jul-2024"/>
    <x v="0"/>
    <x v="0"/>
    <x v="2"/>
    <x v="3"/>
    <s v="Dresses"/>
    <n v="107"/>
    <n v="1569"/>
    <n v="167883"/>
    <x v="3"/>
    <n v="167883"/>
    <n v="114798.56"/>
    <n v="53084.44"/>
    <n v="31.62"/>
    <x v="5"/>
  </r>
  <r>
    <n v="1482"/>
    <s v="26-May-2024"/>
    <x v="6"/>
    <x v="3"/>
    <x v="3"/>
    <x v="3"/>
    <s v="Jeans"/>
    <n v="132"/>
    <n v="1311"/>
    <n v="173052"/>
    <x v="2"/>
    <n v="138441.60000000001"/>
    <n v="84639.06"/>
    <n v="53802.54"/>
    <n v="38.86"/>
    <x v="2"/>
  </r>
  <r>
    <n v="2172"/>
    <s v="15-Dec-2024"/>
    <x v="4"/>
    <x v="2"/>
    <x v="2"/>
    <x v="4"/>
    <s v="Football"/>
    <n v="33"/>
    <n v="581"/>
    <n v="19173"/>
    <x v="0"/>
    <n v="18214.349999999999"/>
    <n v="12688.64"/>
    <n v="5525.71"/>
    <n v="30.34"/>
    <x v="1"/>
  </r>
  <r>
    <n v="1188"/>
    <s v="13-Feb-2024"/>
    <x v="1"/>
    <x v="1"/>
    <x v="3"/>
    <x v="2"/>
    <s v="Wardrobe"/>
    <n v="123"/>
    <n v="14853"/>
    <n v="1826919"/>
    <x v="4"/>
    <n v="1644227.1"/>
    <n v="926596.67"/>
    <n v="717630.43"/>
    <n v="43.65"/>
    <x v="0"/>
  </r>
  <r>
    <n v="1236"/>
    <s v="08-Mar-2024"/>
    <x v="5"/>
    <x v="1"/>
    <x v="0"/>
    <x v="2"/>
    <s v="Sofa"/>
    <n v="119"/>
    <n v="19304"/>
    <n v="2297176"/>
    <x v="1"/>
    <n v="1952599.6"/>
    <n v="1241872.78"/>
    <n v="710726.82"/>
    <n v="36.4"/>
    <x v="0"/>
  </r>
  <r>
    <n v="1978"/>
    <s v="27-Oct-2024"/>
    <x v="3"/>
    <x v="2"/>
    <x v="3"/>
    <x v="1"/>
    <s v="Tablet"/>
    <n v="118"/>
    <n v="4993"/>
    <n v="589174"/>
    <x v="0"/>
    <n v="559715.30000000005"/>
    <n v="357282.7"/>
    <n v="202432.6"/>
    <n v="36.17"/>
    <x v="2"/>
  </r>
  <r>
    <n v="1789"/>
    <s v="23-Aug-2024"/>
    <x v="2"/>
    <x v="0"/>
    <x v="3"/>
    <x v="2"/>
    <s v="Bed Frame"/>
    <n v="35"/>
    <n v="10319"/>
    <n v="361165"/>
    <x v="3"/>
    <n v="361165"/>
    <n v="247233.82"/>
    <n v="113931.18"/>
    <n v="31.55"/>
    <x v="0"/>
  </r>
  <r>
    <n v="1724"/>
    <s v="23-Aug-2024"/>
    <x v="2"/>
    <x v="0"/>
    <x v="1"/>
    <x v="4"/>
    <s v="Dumbbells"/>
    <n v="70"/>
    <n v="1871"/>
    <n v="130970"/>
    <x v="3"/>
    <n v="130970"/>
    <n v="75706.75"/>
    <n v="55263.25"/>
    <n v="42.2"/>
    <x v="7"/>
  </r>
  <r>
    <n v="2193"/>
    <s v="15-Dec-2024"/>
    <x v="4"/>
    <x v="2"/>
    <x v="3"/>
    <x v="0"/>
    <s v="Dairy Products"/>
    <n v="49"/>
    <n v="112"/>
    <n v="5488"/>
    <x v="0"/>
    <n v="5213.6000000000004"/>
    <n v="3517.8"/>
    <n v="1695.8"/>
    <n v="32.53"/>
    <x v="1"/>
  </r>
  <r>
    <n v="1976"/>
    <s v="27-Oct-2024"/>
    <x v="3"/>
    <x v="2"/>
    <x v="3"/>
    <x v="1"/>
    <s v="Laptop"/>
    <n v="164"/>
    <n v="13105"/>
    <n v="2149220"/>
    <x v="3"/>
    <n v="2149220"/>
    <n v="1382773.87"/>
    <n v="766446.13"/>
    <n v="35.659999999999997"/>
    <x v="6"/>
  </r>
  <r>
    <n v="1570"/>
    <s v="07-Jun-2024"/>
    <x v="11"/>
    <x v="3"/>
    <x v="2"/>
    <x v="0"/>
    <s v="Condiments"/>
    <n v="43"/>
    <n v="85"/>
    <n v="3655"/>
    <x v="0"/>
    <n v="3472.25"/>
    <n v="2238.2600000000002"/>
    <n v="1233.99"/>
    <n v="35.54"/>
    <x v="4"/>
  </r>
  <r>
    <n v="2078"/>
    <s v="03-Nov-2024"/>
    <x v="10"/>
    <x v="2"/>
    <x v="3"/>
    <x v="1"/>
    <s v="Tablet"/>
    <n v="168"/>
    <n v="5192"/>
    <n v="872256"/>
    <x v="4"/>
    <n v="785030.4"/>
    <n v="462069.28"/>
    <n v="322961.12"/>
    <n v="41.14"/>
    <x v="1"/>
  </r>
  <r>
    <n v="2029"/>
    <s v="03-Nov-2024"/>
    <x v="10"/>
    <x v="2"/>
    <x v="0"/>
    <x v="1"/>
    <s v="Headphones"/>
    <n v="62"/>
    <n v="831"/>
    <n v="51522"/>
    <x v="1"/>
    <n v="43793.7"/>
    <n v="29238.74"/>
    <n v="14554.96"/>
    <n v="33.24"/>
    <x v="0"/>
  </r>
  <r>
    <n v="1324"/>
    <s v="08-Apr-2024"/>
    <x v="7"/>
    <x v="3"/>
    <x v="1"/>
    <x v="4"/>
    <s v="Dumbbells"/>
    <n v="120"/>
    <n v="1863"/>
    <n v="223560"/>
    <x v="1"/>
    <n v="190026"/>
    <n v="118317.35"/>
    <n v="71708.649999999994"/>
    <n v="37.74"/>
    <x v="5"/>
  </r>
  <r>
    <n v="1169"/>
    <s v="13-Feb-2024"/>
    <x v="1"/>
    <x v="1"/>
    <x v="2"/>
    <x v="0"/>
    <s v="Frozen Foods"/>
    <n v="89"/>
    <n v="142"/>
    <n v="12638"/>
    <x v="0"/>
    <n v="12006.1"/>
    <n v="8399.6299999999992"/>
    <n v="3606.47"/>
    <n v="30.04"/>
    <x v="1"/>
  </r>
  <r>
    <n v="2010"/>
    <s v="03-Nov-2024"/>
    <x v="10"/>
    <x v="2"/>
    <x v="1"/>
    <x v="3"/>
    <s v="Shoes"/>
    <n v="31"/>
    <n v="1956"/>
    <n v="60636"/>
    <x v="3"/>
    <n v="60636"/>
    <n v="36381.199999999997"/>
    <n v="24254.799999999999"/>
    <n v="40"/>
    <x v="4"/>
  </r>
  <r>
    <n v="1814"/>
    <s v="26-Sep-2024"/>
    <x v="9"/>
    <x v="0"/>
    <x v="1"/>
    <x v="2"/>
    <s v="Bed Frame"/>
    <n v="74"/>
    <n v="9234"/>
    <n v="683316"/>
    <x v="0"/>
    <n v="649150.19999999995"/>
    <n v="442341.95"/>
    <n v="206808.25"/>
    <n v="31.86"/>
    <x v="6"/>
  </r>
  <r>
    <n v="1530"/>
    <s v="07-Jun-2024"/>
    <x v="11"/>
    <x v="3"/>
    <x v="0"/>
    <x v="1"/>
    <s v="Smart TV"/>
    <n v="36"/>
    <n v="15337"/>
    <n v="552132"/>
    <x v="3"/>
    <n v="552132"/>
    <n v="329287.94"/>
    <n v="222844.06"/>
    <n v="40.36"/>
    <x v="7"/>
  </r>
  <r>
    <n v="1271"/>
    <s v="08-Mar-2024"/>
    <x v="5"/>
    <x v="1"/>
    <x v="2"/>
    <x v="4"/>
    <s v="Cricket Bat"/>
    <n v="120"/>
    <n v="1102"/>
    <n v="132240"/>
    <x v="0"/>
    <n v="125628"/>
    <n v="84485.52"/>
    <n v="41142.480000000003"/>
    <n v="32.75"/>
    <x v="3"/>
  </r>
  <r>
    <n v="1628"/>
    <s v="23-Jul-2024"/>
    <x v="0"/>
    <x v="0"/>
    <x v="0"/>
    <x v="1"/>
    <s v="Tablet"/>
    <n v="41"/>
    <n v="5351"/>
    <n v="219391"/>
    <x v="3"/>
    <n v="219391"/>
    <n v="126382.51"/>
    <n v="93008.49"/>
    <n v="42.39"/>
    <x v="5"/>
  </r>
  <r>
    <n v="1270"/>
    <s v="08-Mar-2024"/>
    <x v="5"/>
    <x v="1"/>
    <x v="2"/>
    <x v="0"/>
    <s v="Condiments"/>
    <n v="53"/>
    <n v="95"/>
    <n v="5035"/>
    <x v="0"/>
    <n v="4783.25"/>
    <n v="2953.17"/>
    <n v="1830.08"/>
    <n v="38.26"/>
    <x v="7"/>
  </r>
  <r>
    <n v="1726"/>
    <s v="23-Aug-2024"/>
    <x v="2"/>
    <x v="0"/>
    <x v="0"/>
    <x v="1"/>
    <s v="Laptop"/>
    <n v="38"/>
    <n v="12202"/>
    <n v="463676"/>
    <x v="0"/>
    <n v="440492.2"/>
    <n v="242643.71"/>
    <n v="197848.49"/>
    <n v="44.92"/>
    <x v="2"/>
  </r>
  <r>
    <n v="1441"/>
    <s v="26-May-2024"/>
    <x v="6"/>
    <x v="3"/>
    <x v="0"/>
    <x v="0"/>
    <s v="Organic Snacks"/>
    <n v="33"/>
    <n v="183"/>
    <n v="6039"/>
    <x v="1"/>
    <n v="5133.1499999999996"/>
    <n v="3168.83"/>
    <n v="1964.32"/>
    <n v="38.270000000000003"/>
    <x v="0"/>
  </r>
  <r>
    <n v="2050"/>
    <s v="03-Nov-2024"/>
    <x v="10"/>
    <x v="2"/>
    <x v="0"/>
    <x v="4"/>
    <s v="Cycling Gear"/>
    <n v="126"/>
    <n v="3823"/>
    <n v="481698"/>
    <x v="3"/>
    <n v="481698"/>
    <n v="275200.39"/>
    <n v="206497.61"/>
    <n v="42.87"/>
    <x v="6"/>
  </r>
  <r>
    <n v="1288"/>
    <s v="08-Mar-2024"/>
    <x v="5"/>
    <x v="1"/>
    <x v="3"/>
    <x v="2"/>
    <s v="Wardrobe"/>
    <n v="101"/>
    <n v="15242"/>
    <n v="1539442"/>
    <x v="3"/>
    <n v="1539442"/>
    <n v="914453.77"/>
    <n v="624988.23"/>
    <n v="40.6"/>
    <x v="4"/>
  </r>
  <r>
    <n v="1512"/>
    <s v="07-Jun-2024"/>
    <x v="11"/>
    <x v="3"/>
    <x v="1"/>
    <x v="2"/>
    <s v="Dining Table"/>
    <n v="125"/>
    <n v="12425"/>
    <n v="1553125"/>
    <x v="3"/>
    <n v="1553125"/>
    <n v="977810.6"/>
    <n v="575314.4"/>
    <n v="37.04"/>
    <x v="4"/>
  </r>
  <r>
    <n v="1131"/>
    <s v="13-Feb-2024"/>
    <x v="1"/>
    <x v="1"/>
    <x v="0"/>
    <x v="3"/>
    <s v="T-Shirts"/>
    <n v="76"/>
    <n v="519"/>
    <n v="39444"/>
    <x v="3"/>
    <n v="39444"/>
    <n v="22576.94"/>
    <n v="16867.060000000001"/>
    <n v="42.76"/>
    <x v="6"/>
  </r>
  <r>
    <n v="2097"/>
    <s v="03-Nov-2024"/>
    <x v="10"/>
    <x v="2"/>
    <x v="3"/>
    <x v="4"/>
    <s v="Football"/>
    <n v="101"/>
    <n v="565"/>
    <n v="57065"/>
    <x v="2"/>
    <n v="45652"/>
    <n v="31546.15"/>
    <n v="14105.85"/>
    <n v="30.9"/>
    <x v="7"/>
  </r>
  <r>
    <n v="1940"/>
    <s v="27-Oct-2024"/>
    <x v="3"/>
    <x v="2"/>
    <x v="0"/>
    <x v="2"/>
    <s v="Office Chair"/>
    <n v="98"/>
    <n v="5210"/>
    <n v="510580"/>
    <x v="4"/>
    <n v="459522"/>
    <n v="286144.03999999998"/>
    <n v="173377.96"/>
    <n v="37.729999999999997"/>
    <x v="1"/>
  </r>
  <r>
    <n v="1120"/>
    <s v="13-Feb-2024"/>
    <x v="1"/>
    <x v="1"/>
    <x v="1"/>
    <x v="0"/>
    <s v="Condiments"/>
    <n v="102"/>
    <n v="93"/>
    <n v="9486"/>
    <x v="2"/>
    <n v="7588.8"/>
    <n v="4684.01"/>
    <n v="2904.79"/>
    <n v="38.28"/>
    <x v="4"/>
  </r>
  <r>
    <n v="1671"/>
    <s v="23-Jul-2024"/>
    <x v="0"/>
    <x v="0"/>
    <x v="2"/>
    <x v="4"/>
    <s v="Cricket Bat"/>
    <n v="104"/>
    <n v="1228"/>
    <n v="127712"/>
    <x v="0"/>
    <n v="121326.39999999999"/>
    <n v="68804.429999999993"/>
    <n v="52521.97"/>
    <n v="43.29"/>
    <x v="1"/>
  </r>
  <r>
    <n v="1146"/>
    <s v="13-Feb-2024"/>
    <x v="1"/>
    <x v="1"/>
    <x v="0"/>
    <x v="4"/>
    <s v="Cricket Bat"/>
    <n v="82"/>
    <n v="1198"/>
    <n v="98236"/>
    <x v="3"/>
    <n v="98236"/>
    <n v="60955.59"/>
    <n v="37280.410000000003"/>
    <n v="37.950000000000003"/>
    <x v="0"/>
  </r>
  <r>
    <n v="1444"/>
    <s v="26-May-2024"/>
    <x v="6"/>
    <x v="3"/>
    <x v="0"/>
    <x v="0"/>
    <s v="Frozen Foods"/>
    <n v="113"/>
    <n v="152"/>
    <n v="17176"/>
    <x v="0"/>
    <n v="16317.2"/>
    <n v="10374.379999999999"/>
    <n v="5942.82"/>
    <n v="36.42"/>
    <x v="7"/>
  </r>
  <r>
    <n v="2075"/>
    <s v="03-Nov-2024"/>
    <x v="10"/>
    <x v="2"/>
    <x v="2"/>
    <x v="4"/>
    <s v="Cycling Gear"/>
    <n v="211"/>
    <n v="3597"/>
    <n v="758967"/>
    <x v="3"/>
    <n v="758967"/>
    <n v="427266.51"/>
    <n v="331700.49"/>
    <n v="43.7"/>
    <x v="7"/>
  </r>
  <r>
    <n v="1856"/>
    <s v="26-Sep-2024"/>
    <x v="9"/>
    <x v="0"/>
    <x v="2"/>
    <x v="3"/>
    <s v="T-Shirts"/>
    <n v="161"/>
    <n v="520"/>
    <n v="83720"/>
    <x v="3"/>
    <n v="83720"/>
    <n v="53465.65"/>
    <n v="30254.35"/>
    <n v="36.14"/>
    <x v="2"/>
  </r>
  <r>
    <n v="1752"/>
    <s v="23-Aug-2024"/>
    <x v="2"/>
    <x v="0"/>
    <x v="2"/>
    <x v="1"/>
    <s v="Smartphone"/>
    <n v="115"/>
    <n v="7604"/>
    <n v="874460"/>
    <x v="3"/>
    <n v="874460"/>
    <n v="504741.55"/>
    <n v="369718.45"/>
    <n v="42.28"/>
    <x v="4"/>
  </r>
  <r>
    <n v="1676"/>
    <s v="23-Jul-2024"/>
    <x v="0"/>
    <x v="0"/>
    <x v="3"/>
    <x v="1"/>
    <s v="Laptop"/>
    <n v="45"/>
    <n v="11016"/>
    <n v="495720"/>
    <x v="3"/>
    <n v="495720"/>
    <n v="326448.74"/>
    <n v="169271.26"/>
    <n v="34.15"/>
    <x v="1"/>
  </r>
  <r>
    <n v="1480"/>
    <s v="26-May-2024"/>
    <x v="6"/>
    <x v="3"/>
    <x v="3"/>
    <x v="1"/>
    <s v="Smart TV"/>
    <n v="96"/>
    <n v="14969"/>
    <n v="1437024"/>
    <x v="3"/>
    <n v="1437024"/>
    <n v="830692.97"/>
    <n v="606331.03"/>
    <n v="42.19"/>
    <x v="2"/>
  </r>
  <r>
    <n v="2109"/>
    <s v="15-Dec-2024"/>
    <x v="4"/>
    <x v="2"/>
    <x v="1"/>
    <x v="3"/>
    <s v="Dresses"/>
    <n v="184"/>
    <n v="1528"/>
    <n v="281152"/>
    <x v="0"/>
    <n v="267094.40000000002"/>
    <n v="163577.51"/>
    <n v="103516.89"/>
    <n v="38.76"/>
    <x v="2"/>
  </r>
  <r>
    <n v="1505"/>
    <s v="07-Jun-2024"/>
    <x v="11"/>
    <x v="3"/>
    <x v="1"/>
    <x v="1"/>
    <s v="Smart TV"/>
    <n v="162"/>
    <n v="14406"/>
    <n v="2333772"/>
    <x v="0"/>
    <n v="2217083.4"/>
    <n v="1250437.25"/>
    <n v="966646.15"/>
    <n v="43.6"/>
    <x v="3"/>
  </r>
  <r>
    <n v="1516"/>
    <s v="07-Jun-2024"/>
    <x v="11"/>
    <x v="3"/>
    <x v="1"/>
    <x v="0"/>
    <s v="Organic Snacks"/>
    <n v="79"/>
    <n v="197"/>
    <n v="15563"/>
    <x v="3"/>
    <n v="15563"/>
    <n v="9138.09"/>
    <n v="6424.91"/>
    <n v="41.28"/>
    <x v="1"/>
  </r>
  <r>
    <n v="2114"/>
    <s v="15-Dec-2024"/>
    <x v="4"/>
    <x v="2"/>
    <x v="1"/>
    <x v="2"/>
    <s v="Bed Frame"/>
    <n v="132"/>
    <n v="10253"/>
    <n v="1353396"/>
    <x v="0"/>
    <n v="1285726.2"/>
    <n v="760460.75"/>
    <n v="525265.44999999995"/>
    <n v="40.85"/>
    <x v="5"/>
  </r>
  <r>
    <n v="1754"/>
    <s v="23-Aug-2024"/>
    <x v="2"/>
    <x v="0"/>
    <x v="2"/>
    <x v="1"/>
    <s v="Headphones"/>
    <n v="66"/>
    <n v="731"/>
    <n v="48246"/>
    <x v="3"/>
    <n v="48246"/>
    <n v="27963.99"/>
    <n v="20282.009999999998"/>
    <n v="42.04"/>
    <x v="2"/>
  </r>
  <r>
    <n v="1184"/>
    <s v="13-Feb-2024"/>
    <x v="1"/>
    <x v="1"/>
    <x v="3"/>
    <x v="3"/>
    <s v="Dresses"/>
    <n v="53"/>
    <n v="1475"/>
    <n v="78175"/>
    <x v="0"/>
    <n v="74266.25"/>
    <n v="42318.69"/>
    <n v="31947.56"/>
    <n v="43.02"/>
    <x v="3"/>
  </r>
  <r>
    <n v="1952"/>
    <s v="27-Oct-2024"/>
    <x v="3"/>
    <x v="2"/>
    <x v="2"/>
    <x v="1"/>
    <s v="Smartphone"/>
    <n v="55"/>
    <n v="8543"/>
    <n v="469865"/>
    <x v="3"/>
    <n v="469865"/>
    <n v="309670.13"/>
    <n v="160194.87"/>
    <n v="34.090000000000003"/>
    <x v="3"/>
  </r>
  <r>
    <n v="1043"/>
    <s v="21-Jan-2024"/>
    <x v="8"/>
    <x v="1"/>
    <x v="0"/>
    <x v="0"/>
    <s v="Dairy Products"/>
    <n v="112"/>
    <n v="114"/>
    <n v="12768"/>
    <x v="2"/>
    <n v="10214.4"/>
    <n v="6054.97"/>
    <n v="4159.43"/>
    <n v="40.72"/>
    <x v="2"/>
  </r>
  <r>
    <n v="1573"/>
    <s v="07-Jun-2024"/>
    <x v="11"/>
    <x v="3"/>
    <x v="2"/>
    <x v="4"/>
    <s v="Yoga Mat"/>
    <n v="27"/>
    <n v="816"/>
    <n v="22032"/>
    <x v="3"/>
    <n v="22032"/>
    <n v="15077.92"/>
    <n v="6954.08"/>
    <n v="31.56"/>
    <x v="6"/>
  </r>
  <r>
    <n v="1380"/>
    <s v="08-Apr-2024"/>
    <x v="7"/>
    <x v="3"/>
    <x v="3"/>
    <x v="1"/>
    <s v="Smart TV"/>
    <n v="94"/>
    <n v="13950"/>
    <n v="1311300"/>
    <x v="4"/>
    <n v="1180170"/>
    <n v="800359.31"/>
    <n v="379810.69"/>
    <n v="32.18"/>
    <x v="2"/>
  </r>
  <r>
    <n v="1405"/>
    <s v="26-May-2024"/>
    <x v="6"/>
    <x v="3"/>
    <x v="1"/>
    <x v="1"/>
    <s v="Smart TV"/>
    <n v="53"/>
    <n v="15440"/>
    <n v="818320"/>
    <x v="2"/>
    <n v="654656"/>
    <n v="443247.94"/>
    <n v="211408.06"/>
    <n v="32.29"/>
    <x v="1"/>
  </r>
  <r>
    <n v="1310"/>
    <s v="08-Apr-2024"/>
    <x v="7"/>
    <x v="3"/>
    <x v="1"/>
    <x v="3"/>
    <s v="Shoes"/>
    <n v="39"/>
    <n v="1692"/>
    <n v="65988"/>
    <x v="3"/>
    <n v="65988"/>
    <n v="38636.660000000003"/>
    <n v="27351.34"/>
    <n v="41.45"/>
    <x v="2"/>
  </r>
  <r>
    <n v="1391"/>
    <s v="08-Apr-2024"/>
    <x v="7"/>
    <x v="3"/>
    <x v="3"/>
    <x v="0"/>
    <s v="Organic Snacks"/>
    <n v="147"/>
    <n v="199"/>
    <n v="29253"/>
    <x v="1"/>
    <n v="24865.05"/>
    <n v="15659.76"/>
    <n v="9205.2900000000009"/>
    <n v="37.020000000000003"/>
    <x v="5"/>
  </r>
  <r>
    <n v="1635"/>
    <s v="23-Jul-2024"/>
    <x v="0"/>
    <x v="0"/>
    <x v="0"/>
    <x v="3"/>
    <s v="Shoes"/>
    <n v="118"/>
    <n v="1717"/>
    <n v="202606"/>
    <x v="1"/>
    <n v="172215.1"/>
    <n v="107977.52"/>
    <n v="64237.58"/>
    <n v="37.299999999999997"/>
    <x v="4"/>
  </r>
  <r>
    <n v="1517"/>
    <s v="07-Jun-2024"/>
    <x v="11"/>
    <x v="3"/>
    <x v="1"/>
    <x v="0"/>
    <s v="Beverages"/>
    <n v="63"/>
    <n v="82"/>
    <n v="5166"/>
    <x v="0"/>
    <n v="4907.7"/>
    <n v="3272.68"/>
    <n v="1635.02"/>
    <n v="33.32"/>
    <x v="4"/>
  </r>
  <r>
    <n v="2155"/>
    <s v="15-Dec-2024"/>
    <x v="4"/>
    <x v="2"/>
    <x v="2"/>
    <x v="1"/>
    <s v="Smart TV"/>
    <n v="125"/>
    <n v="15202"/>
    <n v="1900250"/>
    <x v="0"/>
    <n v="1805237.5"/>
    <n v="1039384.57"/>
    <n v="765852.93"/>
    <n v="42.42"/>
    <x v="6"/>
  </r>
  <r>
    <n v="1006"/>
    <s v="21-Jan-2024"/>
    <x v="8"/>
    <x v="1"/>
    <x v="1"/>
    <x v="3"/>
    <s v="T-Shirts"/>
    <n v="29"/>
    <n v="488"/>
    <n v="14152"/>
    <x v="4"/>
    <n v="12736.8"/>
    <n v="8624.39"/>
    <n v="4112.41"/>
    <n v="32.29"/>
    <x v="6"/>
  </r>
  <r>
    <n v="1047"/>
    <s v="21-Jan-2024"/>
    <x v="8"/>
    <x v="1"/>
    <x v="0"/>
    <x v="4"/>
    <s v="Football"/>
    <n v="81"/>
    <n v="568"/>
    <n v="46008"/>
    <x v="3"/>
    <n v="46008"/>
    <n v="31802.54"/>
    <n v="14205.46"/>
    <n v="30.88"/>
    <x v="5"/>
  </r>
  <r>
    <n v="1613"/>
    <s v="23-Jul-2024"/>
    <x v="0"/>
    <x v="0"/>
    <x v="1"/>
    <x v="2"/>
    <s v="Wardrobe"/>
    <n v="53"/>
    <n v="15356"/>
    <n v="813868"/>
    <x v="0"/>
    <n v="773174.6"/>
    <n v="519008.22"/>
    <n v="254166.38"/>
    <n v="32.869999999999997"/>
    <x v="7"/>
  </r>
  <r>
    <n v="1894"/>
    <s v="26-Sep-2024"/>
    <x v="9"/>
    <x v="0"/>
    <x v="3"/>
    <x v="0"/>
    <s v="Frozen Foods"/>
    <n v="125"/>
    <n v="140"/>
    <n v="17500"/>
    <x v="0"/>
    <n v="16625"/>
    <n v="9948.23"/>
    <n v="6676.77"/>
    <n v="40.159999999999997"/>
    <x v="3"/>
  </r>
  <r>
    <n v="2160"/>
    <s v="15-Dec-2024"/>
    <x v="4"/>
    <x v="2"/>
    <x v="2"/>
    <x v="3"/>
    <s v="Shoes"/>
    <n v="84"/>
    <n v="1686"/>
    <n v="141624"/>
    <x v="3"/>
    <n v="141624"/>
    <n v="92031.95"/>
    <n v="49592.05"/>
    <n v="35.020000000000003"/>
    <x v="3"/>
  </r>
  <r>
    <n v="2121"/>
    <s v="15-Dec-2024"/>
    <x v="4"/>
    <x v="2"/>
    <x v="1"/>
    <x v="4"/>
    <s v="Cricket Bat"/>
    <n v="102"/>
    <n v="1104"/>
    <n v="112608"/>
    <x v="1"/>
    <n v="95716.800000000003"/>
    <n v="65133.65"/>
    <n v="30583.15"/>
    <n v="31.95"/>
    <x v="0"/>
  </r>
  <r>
    <n v="1241"/>
    <s v="08-Mar-2024"/>
    <x v="5"/>
    <x v="1"/>
    <x v="0"/>
    <x v="0"/>
    <s v="Organic Snacks"/>
    <n v="76"/>
    <n v="188"/>
    <n v="14288"/>
    <x v="4"/>
    <n v="12859.2"/>
    <n v="7749.79"/>
    <n v="5109.41"/>
    <n v="39.729999999999997"/>
    <x v="7"/>
  </r>
  <r>
    <n v="2033"/>
    <s v="03-Nov-2024"/>
    <x v="10"/>
    <x v="2"/>
    <x v="0"/>
    <x v="3"/>
    <s v="Jackets"/>
    <n v="38"/>
    <n v="1843"/>
    <n v="70034"/>
    <x v="1"/>
    <n v="59528.9"/>
    <n v="35664.43"/>
    <n v="23864.47"/>
    <n v="40.090000000000003"/>
    <x v="4"/>
  </r>
  <r>
    <n v="2198"/>
    <s v="15-Dec-2024"/>
    <x v="4"/>
    <x v="2"/>
    <x v="3"/>
    <x v="4"/>
    <s v="Yoga Mat"/>
    <n v="164"/>
    <n v="769"/>
    <n v="126116"/>
    <x v="0"/>
    <n v="119810.2"/>
    <n v="68235.83"/>
    <n v="51574.37"/>
    <n v="43.05"/>
    <x v="1"/>
  </r>
  <r>
    <n v="2074"/>
    <s v="03-Nov-2024"/>
    <x v="10"/>
    <x v="2"/>
    <x v="2"/>
    <x v="4"/>
    <s v="Dumbbells"/>
    <n v="77"/>
    <n v="1814"/>
    <n v="139678"/>
    <x v="3"/>
    <n v="139678"/>
    <n v="78014.67"/>
    <n v="61663.33"/>
    <n v="44.15"/>
    <x v="5"/>
  </r>
  <r>
    <n v="1075"/>
    <s v="21-Jan-2024"/>
    <x v="8"/>
    <x v="1"/>
    <x v="2"/>
    <x v="4"/>
    <s v="Cycling Gear"/>
    <n v="120"/>
    <n v="3795"/>
    <n v="455400"/>
    <x v="4"/>
    <n v="409860"/>
    <n v="266207.40000000002"/>
    <n v="143652.6"/>
    <n v="35.049999999999997"/>
    <x v="1"/>
  </r>
  <r>
    <n v="2131"/>
    <s v="15-Dec-2024"/>
    <x v="4"/>
    <x v="2"/>
    <x v="0"/>
    <x v="3"/>
    <s v="T-Shirts"/>
    <n v="193"/>
    <n v="509"/>
    <n v="98237"/>
    <x v="3"/>
    <n v="98237"/>
    <n v="67495.03"/>
    <n v="30741.97"/>
    <n v="31.29"/>
    <x v="4"/>
  </r>
  <r>
    <n v="1612"/>
    <s v="23-Jul-2024"/>
    <x v="0"/>
    <x v="0"/>
    <x v="1"/>
    <x v="2"/>
    <s v="Dining Table"/>
    <n v="107"/>
    <n v="12961"/>
    <n v="1386827"/>
    <x v="3"/>
    <n v="1386827"/>
    <n v="787776.37"/>
    <n v="599050.63"/>
    <n v="43.2"/>
    <x v="2"/>
  </r>
  <r>
    <n v="1910"/>
    <s v="27-Oct-2024"/>
    <x v="3"/>
    <x v="2"/>
    <x v="1"/>
    <x v="3"/>
    <s v="Shoes"/>
    <n v="103"/>
    <n v="1763"/>
    <n v="181589"/>
    <x v="3"/>
    <n v="181589"/>
    <n v="126648.06"/>
    <n v="54940.94"/>
    <n v="30.26"/>
    <x v="4"/>
  </r>
  <r>
    <n v="1393"/>
    <s v="08-Apr-2024"/>
    <x v="7"/>
    <x v="3"/>
    <x v="3"/>
    <x v="0"/>
    <s v="Dairy Products"/>
    <n v="24"/>
    <n v="124"/>
    <n v="2976"/>
    <x v="3"/>
    <n v="2976"/>
    <n v="1744.23"/>
    <n v="1231.77"/>
    <n v="41.39"/>
    <x v="1"/>
  </r>
  <r>
    <n v="1218"/>
    <s v="08-Mar-2024"/>
    <x v="5"/>
    <x v="1"/>
    <x v="1"/>
    <x v="0"/>
    <s v="Dairy Products"/>
    <n v="95"/>
    <n v="121"/>
    <n v="11495"/>
    <x v="4"/>
    <n v="10345.5"/>
    <n v="6729.77"/>
    <n v="3615.73"/>
    <n v="34.950000000000003"/>
    <x v="0"/>
  </r>
  <r>
    <n v="1332"/>
    <s v="08-Apr-2024"/>
    <x v="7"/>
    <x v="3"/>
    <x v="0"/>
    <x v="3"/>
    <s v="Jeans"/>
    <n v="45"/>
    <n v="1165"/>
    <n v="52425"/>
    <x v="3"/>
    <n v="52425"/>
    <n v="31046.27"/>
    <n v="21378.73"/>
    <n v="40.78"/>
    <x v="2"/>
  </r>
  <r>
    <n v="1788"/>
    <s v="23-Aug-2024"/>
    <x v="2"/>
    <x v="0"/>
    <x v="3"/>
    <x v="2"/>
    <s v="Wardrobe"/>
    <n v="47"/>
    <n v="15125"/>
    <n v="710875"/>
    <x v="3"/>
    <n v="710875"/>
    <n v="484577.11"/>
    <n v="226297.89"/>
    <n v="31.83"/>
    <x v="1"/>
  </r>
  <r>
    <n v="2116"/>
    <s v="15-Dec-2024"/>
    <x v="4"/>
    <x v="2"/>
    <x v="1"/>
    <x v="0"/>
    <s v="Organic Snacks"/>
    <n v="176"/>
    <n v="182"/>
    <n v="32032"/>
    <x v="4"/>
    <n v="28828.799999999999"/>
    <n v="17088.55"/>
    <n v="11740.25"/>
    <n v="40.72"/>
    <x v="0"/>
  </r>
  <r>
    <n v="1011"/>
    <s v="21-Jan-2024"/>
    <x v="8"/>
    <x v="1"/>
    <x v="1"/>
    <x v="2"/>
    <s v="Sofa"/>
    <n v="36"/>
    <n v="17479"/>
    <n v="629244"/>
    <x v="0"/>
    <n v="597781.80000000005"/>
    <n v="391710.3"/>
    <n v="206071.5"/>
    <n v="34.47"/>
    <x v="1"/>
  </r>
  <r>
    <n v="1088"/>
    <s v="21-Jan-2024"/>
    <x v="8"/>
    <x v="1"/>
    <x v="3"/>
    <x v="2"/>
    <s v="Wardrobe"/>
    <n v="114"/>
    <n v="15096"/>
    <n v="1720944"/>
    <x v="1"/>
    <n v="1462802.4"/>
    <n v="986785.11"/>
    <n v="476017.29"/>
    <n v="32.54"/>
    <x v="2"/>
  </r>
  <r>
    <n v="1470"/>
    <s v="26-May-2024"/>
    <x v="6"/>
    <x v="3"/>
    <x v="2"/>
    <x v="0"/>
    <s v="Condiments"/>
    <n v="69"/>
    <n v="89"/>
    <n v="6141"/>
    <x v="2"/>
    <n v="4912.8"/>
    <n v="2872.9"/>
    <n v="2039.9"/>
    <n v="41.52"/>
    <x v="0"/>
  </r>
  <r>
    <n v="1769"/>
    <s v="23-Aug-2024"/>
    <x v="2"/>
    <x v="0"/>
    <x v="2"/>
    <x v="0"/>
    <s v="Frozen Foods"/>
    <n v="57"/>
    <n v="143"/>
    <n v="8151"/>
    <x v="0"/>
    <n v="7743.45"/>
    <n v="4308.62"/>
    <n v="3434.83"/>
    <n v="44.36"/>
    <x v="5"/>
  </r>
  <r>
    <n v="1701"/>
    <s v="23-Aug-2024"/>
    <x v="2"/>
    <x v="0"/>
    <x v="1"/>
    <x v="1"/>
    <s v="Laptop"/>
    <n v="40"/>
    <n v="12953"/>
    <n v="518120"/>
    <x v="2"/>
    <n v="414496"/>
    <n v="236705.14"/>
    <n v="177790.86"/>
    <n v="42.89"/>
    <x v="0"/>
  </r>
  <r>
    <n v="1597"/>
    <s v="07-Jun-2024"/>
    <x v="11"/>
    <x v="3"/>
    <x v="3"/>
    <x v="4"/>
    <s v="Football"/>
    <n v="59"/>
    <n v="553"/>
    <n v="32627"/>
    <x v="4"/>
    <n v="29364.3"/>
    <n v="16899.62"/>
    <n v="12464.68"/>
    <n v="42.45"/>
    <x v="0"/>
  </r>
  <r>
    <n v="1379"/>
    <s v="08-Apr-2024"/>
    <x v="7"/>
    <x v="3"/>
    <x v="3"/>
    <x v="1"/>
    <s v="Headphones"/>
    <n v="30"/>
    <n v="810"/>
    <n v="24300"/>
    <x v="3"/>
    <n v="24300"/>
    <n v="16385.88"/>
    <n v="7914.12"/>
    <n v="32.57"/>
    <x v="5"/>
  </r>
  <r>
    <n v="1255"/>
    <s v="08-Mar-2024"/>
    <x v="5"/>
    <x v="1"/>
    <x v="2"/>
    <x v="1"/>
    <s v="Smart TV"/>
    <n v="26"/>
    <n v="13784"/>
    <n v="358384"/>
    <x v="1"/>
    <n v="304626.40000000002"/>
    <n v="180528.32"/>
    <n v="124098.08"/>
    <n v="40.74"/>
    <x v="7"/>
  </r>
  <r>
    <n v="1462"/>
    <s v="26-May-2024"/>
    <x v="6"/>
    <x v="3"/>
    <x v="2"/>
    <x v="2"/>
    <s v="Dining Table"/>
    <n v="160"/>
    <n v="11833"/>
    <n v="1893280"/>
    <x v="3"/>
    <n v="1893280"/>
    <n v="1069307.47"/>
    <n v="823972.53"/>
    <n v="43.52"/>
    <x v="5"/>
  </r>
  <r>
    <n v="1757"/>
    <s v="23-Aug-2024"/>
    <x v="2"/>
    <x v="0"/>
    <x v="2"/>
    <x v="3"/>
    <s v="Jeans"/>
    <n v="127"/>
    <n v="1117"/>
    <n v="141859"/>
    <x v="4"/>
    <n v="127673.1"/>
    <n v="85688.43"/>
    <n v="41984.67"/>
    <n v="32.880000000000003"/>
    <x v="0"/>
  </r>
  <r>
    <n v="2059"/>
    <s v="03-Nov-2024"/>
    <x v="10"/>
    <x v="2"/>
    <x v="2"/>
    <x v="3"/>
    <s v="Dresses"/>
    <n v="81"/>
    <n v="1427"/>
    <n v="115587"/>
    <x v="3"/>
    <n v="115587"/>
    <n v="74041.94"/>
    <n v="41545.06"/>
    <n v="35.94"/>
    <x v="7"/>
  </r>
  <r>
    <n v="1298"/>
    <s v="08-Mar-2024"/>
    <x v="5"/>
    <x v="1"/>
    <x v="3"/>
    <x v="4"/>
    <s v="Yoga Mat"/>
    <n v="89"/>
    <n v="790"/>
    <n v="70310"/>
    <x v="3"/>
    <n v="70310"/>
    <n v="39461.919999999998"/>
    <n v="30848.080000000002"/>
    <n v="43.87"/>
    <x v="0"/>
  </r>
  <r>
    <n v="2091"/>
    <s v="03-Nov-2024"/>
    <x v="10"/>
    <x v="2"/>
    <x v="3"/>
    <x v="0"/>
    <s v="Organic Snacks"/>
    <n v="166"/>
    <n v="192"/>
    <n v="31872"/>
    <x v="0"/>
    <n v="30278.400000000001"/>
    <n v="17455.28"/>
    <n v="12823.12"/>
    <n v="42.35"/>
    <x v="4"/>
  </r>
  <r>
    <n v="1150"/>
    <s v="13-Feb-2024"/>
    <x v="1"/>
    <x v="1"/>
    <x v="0"/>
    <x v="4"/>
    <s v="Cycling Gear"/>
    <n v="85"/>
    <n v="3530"/>
    <n v="300050"/>
    <x v="1"/>
    <n v="255042.5"/>
    <n v="142347.03"/>
    <n v="112695.47"/>
    <n v="44.19"/>
    <x v="3"/>
  </r>
  <r>
    <n v="2167"/>
    <s v="15-Dec-2024"/>
    <x v="4"/>
    <x v="2"/>
    <x v="2"/>
    <x v="0"/>
    <s v="Beverages"/>
    <n v="122"/>
    <n v="73"/>
    <n v="8906"/>
    <x v="3"/>
    <n v="8906"/>
    <n v="5710.73"/>
    <n v="3195.27"/>
    <n v="35.880000000000003"/>
    <x v="5"/>
  </r>
  <r>
    <n v="1185"/>
    <s v="13-Feb-2024"/>
    <x v="1"/>
    <x v="1"/>
    <x v="3"/>
    <x v="3"/>
    <s v="Shoes"/>
    <n v="75"/>
    <n v="1949"/>
    <n v="146175"/>
    <x v="3"/>
    <n v="146175"/>
    <n v="86030.64"/>
    <n v="60144.36"/>
    <n v="41.15"/>
    <x v="2"/>
  </r>
  <r>
    <n v="1429"/>
    <s v="26-May-2024"/>
    <x v="6"/>
    <x v="3"/>
    <x v="0"/>
    <x v="1"/>
    <s v="Headphones"/>
    <n v="135"/>
    <n v="867"/>
    <n v="117045"/>
    <x v="0"/>
    <n v="111192.75"/>
    <n v="64682.22"/>
    <n v="46510.53"/>
    <n v="41.83"/>
    <x v="2"/>
  </r>
  <r>
    <n v="1194"/>
    <s v="13-Feb-2024"/>
    <x v="1"/>
    <x v="1"/>
    <x v="3"/>
    <x v="0"/>
    <s v="Frozen Foods"/>
    <n v="127"/>
    <n v="138"/>
    <n v="17526"/>
    <x v="0"/>
    <n v="16649.7"/>
    <n v="11373.23"/>
    <n v="5276.47"/>
    <n v="31.69"/>
    <x v="7"/>
  </r>
  <r>
    <n v="1290"/>
    <s v="08-Mar-2024"/>
    <x v="5"/>
    <x v="1"/>
    <x v="3"/>
    <x v="2"/>
    <s v="Office Chair"/>
    <n v="133"/>
    <n v="5043"/>
    <n v="670719"/>
    <x v="0"/>
    <n v="637183.05000000005"/>
    <n v="353950.8"/>
    <n v="283232.25"/>
    <n v="44.45"/>
    <x v="5"/>
  </r>
  <r>
    <n v="1221"/>
    <s v="08-Mar-2024"/>
    <x v="5"/>
    <x v="1"/>
    <x v="1"/>
    <x v="4"/>
    <s v="Cricket Bat"/>
    <n v="39"/>
    <n v="1196"/>
    <n v="46644"/>
    <x v="3"/>
    <n v="46644"/>
    <n v="28103.81"/>
    <n v="18540.189999999999"/>
    <n v="39.75"/>
    <x v="3"/>
  </r>
  <r>
    <n v="1847"/>
    <s v="26-Sep-2024"/>
    <x v="9"/>
    <x v="0"/>
    <x v="0"/>
    <x v="4"/>
    <s v="Football"/>
    <n v="55"/>
    <n v="593"/>
    <n v="32615"/>
    <x v="4"/>
    <n v="29353.5"/>
    <n v="19437.43"/>
    <n v="9916.07"/>
    <n v="33.78"/>
    <x v="2"/>
  </r>
  <r>
    <n v="1212"/>
    <s v="08-Mar-2024"/>
    <x v="5"/>
    <x v="1"/>
    <x v="1"/>
    <x v="2"/>
    <s v="Dining Table"/>
    <n v="68"/>
    <n v="12234"/>
    <n v="831912"/>
    <x v="0"/>
    <n v="790316.4"/>
    <n v="488460.83"/>
    <n v="301855.57"/>
    <n v="38.19"/>
    <x v="0"/>
  </r>
  <r>
    <n v="1442"/>
    <s v="26-May-2024"/>
    <x v="6"/>
    <x v="3"/>
    <x v="0"/>
    <x v="0"/>
    <s v="Beverages"/>
    <n v="33"/>
    <n v="73"/>
    <n v="2409"/>
    <x v="3"/>
    <n v="2409"/>
    <n v="1540.65"/>
    <n v="868.35"/>
    <n v="36.049999999999997"/>
    <x v="3"/>
  </r>
  <r>
    <n v="1796"/>
    <s v="23-Aug-2024"/>
    <x v="2"/>
    <x v="0"/>
    <x v="3"/>
    <x v="4"/>
    <s v="Cricket Bat"/>
    <n v="44"/>
    <n v="1236"/>
    <n v="54384"/>
    <x v="0"/>
    <n v="51664.800000000003"/>
    <n v="30440.66"/>
    <n v="21224.14"/>
    <n v="41.08"/>
    <x v="0"/>
  </r>
  <r>
    <n v="1392"/>
    <s v="08-Apr-2024"/>
    <x v="7"/>
    <x v="3"/>
    <x v="3"/>
    <x v="0"/>
    <s v="Beverages"/>
    <n v="52"/>
    <n v="78"/>
    <n v="4056"/>
    <x v="0"/>
    <n v="3853.2"/>
    <n v="2228.1999999999998"/>
    <n v="1625"/>
    <n v="42.17"/>
    <x v="1"/>
  </r>
  <r>
    <n v="1741"/>
    <s v="23-Aug-2024"/>
    <x v="2"/>
    <x v="0"/>
    <x v="0"/>
    <x v="0"/>
    <s v="Organic Snacks"/>
    <n v="32"/>
    <n v="182"/>
    <n v="5824"/>
    <x v="0"/>
    <n v="5532.8"/>
    <n v="3506.21"/>
    <n v="2026.59"/>
    <n v="36.630000000000003"/>
    <x v="5"/>
  </r>
  <r>
    <n v="1295"/>
    <s v="08-Mar-2024"/>
    <x v="5"/>
    <x v="1"/>
    <x v="3"/>
    <x v="0"/>
    <s v="Condiments"/>
    <n v="27"/>
    <n v="92"/>
    <n v="2484"/>
    <x v="3"/>
    <n v="2484"/>
    <n v="1569.44"/>
    <n v="914.56"/>
    <n v="36.82"/>
    <x v="3"/>
  </r>
  <r>
    <n v="1273"/>
    <s v="08-Mar-2024"/>
    <x v="5"/>
    <x v="1"/>
    <x v="2"/>
    <x v="4"/>
    <s v="Yoga Mat"/>
    <n v="66"/>
    <n v="733"/>
    <n v="48378"/>
    <x v="0"/>
    <n v="45959.1"/>
    <n v="25471.83"/>
    <n v="20487.27"/>
    <n v="44.58"/>
    <x v="1"/>
  </r>
  <r>
    <n v="1196"/>
    <s v="13-Feb-2024"/>
    <x v="1"/>
    <x v="1"/>
    <x v="3"/>
    <x v="4"/>
    <s v="Cricket Bat"/>
    <n v="114"/>
    <n v="1237"/>
    <n v="141018"/>
    <x v="2"/>
    <n v="112814.39999999999"/>
    <n v="72466.09"/>
    <n v="40348.31"/>
    <n v="35.770000000000003"/>
    <x v="6"/>
  </r>
  <r>
    <n v="2094"/>
    <s v="03-Nov-2024"/>
    <x v="10"/>
    <x v="2"/>
    <x v="3"/>
    <x v="0"/>
    <s v="Frozen Foods"/>
    <n v="161"/>
    <n v="139"/>
    <n v="22379"/>
    <x v="0"/>
    <n v="21260.05"/>
    <n v="11773.92"/>
    <n v="9486.1299999999992"/>
    <n v="44.62"/>
    <x v="5"/>
  </r>
  <r>
    <n v="1773"/>
    <s v="23-Aug-2024"/>
    <x v="2"/>
    <x v="0"/>
    <x v="2"/>
    <x v="4"/>
    <s v="Yoga Mat"/>
    <n v="77"/>
    <n v="825"/>
    <n v="63525"/>
    <x v="3"/>
    <n v="63525"/>
    <n v="39861.9"/>
    <n v="23663.1"/>
    <n v="37.25"/>
    <x v="0"/>
  </r>
  <r>
    <n v="1122"/>
    <s v="13-Feb-2024"/>
    <x v="1"/>
    <x v="1"/>
    <x v="1"/>
    <x v="4"/>
    <s v="Football"/>
    <n v="76"/>
    <n v="604"/>
    <n v="45904"/>
    <x v="1"/>
    <n v="39018.400000000001"/>
    <n v="27293.16"/>
    <n v="11725.24"/>
    <n v="30.05"/>
    <x v="3"/>
  </r>
  <r>
    <n v="1507"/>
    <s v="07-Jun-2024"/>
    <x v="11"/>
    <x v="3"/>
    <x v="1"/>
    <x v="3"/>
    <s v="Jeans"/>
    <n v="138"/>
    <n v="1261"/>
    <n v="174018"/>
    <x v="1"/>
    <n v="147915.29999999999"/>
    <n v="95896.86"/>
    <n v="52018.44"/>
    <n v="35.17"/>
    <x v="1"/>
  </r>
  <r>
    <n v="2068"/>
    <s v="03-Nov-2024"/>
    <x v="10"/>
    <x v="2"/>
    <x v="2"/>
    <x v="0"/>
    <s v="Dairy Products"/>
    <n v="102"/>
    <n v="116"/>
    <n v="11832"/>
    <x v="3"/>
    <n v="11832"/>
    <n v="6680.4"/>
    <n v="5151.6000000000004"/>
    <n v="43.54"/>
    <x v="3"/>
  </r>
  <r>
    <n v="1825"/>
    <s v="26-Sep-2024"/>
    <x v="9"/>
    <x v="0"/>
    <x v="1"/>
    <x v="4"/>
    <s v="Cycling Gear"/>
    <n v="150"/>
    <n v="3410"/>
    <n v="511500"/>
    <x v="4"/>
    <n v="460350"/>
    <n v="287189.83"/>
    <n v="173160.17"/>
    <n v="37.61"/>
    <x v="6"/>
  </r>
  <r>
    <n v="1446"/>
    <s v="26-May-2024"/>
    <x v="6"/>
    <x v="3"/>
    <x v="0"/>
    <x v="4"/>
    <s v="Cricket Bat"/>
    <n v="38"/>
    <n v="1120"/>
    <n v="42560"/>
    <x v="0"/>
    <n v="40432"/>
    <n v="24791.5"/>
    <n v="15640.5"/>
    <n v="38.68"/>
    <x v="2"/>
  </r>
  <r>
    <n v="1539"/>
    <s v="07-Jun-2024"/>
    <x v="11"/>
    <x v="3"/>
    <x v="0"/>
    <x v="2"/>
    <s v="Bed Frame"/>
    <n v="147"/>
    <n v="10715"/>
    <n v="1575105"/>
    <x v="1"/>
    <n v="1338839.25"/>
    <n v="781450.07"/>
    <n v="557389.18000000005"/>
    <n v="41.63"/>
    <x v="5"/>
  </r>
  <r>
    <n v="1736"/>
    <s v="23-Aug-2024"/>
    <x v="2"/>
    <x v="0"/>
    <x v="0"/>
    <x v="2"/>
    <s v="Sofa"/>
    <n v="90"/>
    <n v="18031"/>
    <n v="1622790"/>
    <x v="2"/>
    <n v="1298232"/>
    <n v="722567.04"/>
    <n v="575664.96"/>
    <n v="44.34"/>
    <x v="5"/>
  </r>
  <r>
    <n v="1015"/>
    <s v="21-Jan-2024"/>
    <x v="8"/>
    <x v="1"/>
    <x v="1"/>
    <x v="2"/>
    <s v="Office Chair"/>
    <n v="41"/>
    <n v="5443"/>
    <n v="223163"/>
    <x v="4"/>
    <n v="200846.7"/>
    <n v="116871.49"/>
    <n v="83975.21"/>
    <n v="41.81"/>
    <x v="2"/>
  </r>
  <r>
    <n v="1121"/>
    <s v="13-Feb-2024"/>
    <x v="1"/>
    <x v="1"/>
    <x v="1"/>
    <x v="4"/>
    <s v="Cricket Bat"/>
    <n v="30"/>
    <n v="1133"/>
    <n v="33990"/>
    <x v="0"/>
    <n v="32290.5"/>
    <n v="19242.91"/>
    <n v="13047.59"/>
    <n v="40.409999999999997"/>
    <x v="3"/>
  </r>
  <r>
    <n v="1581"/>
    <s v="07-Jun-2024"/>
    <x v="11"/>
    <x v="3"/>
    <x v="3"/>
    <x v="3"/>
    <s v="T-Shirts"/>
    <n v="97"/>
    <n v="450"/>
    <n v="43650"/>
    <x v="0"/>
    <n v="41467.5"/>
    <n v="27823.32"/>
    <n v="13644.18"/>
    <n v="32.9"/>
    <x v="3"/>
  </r>
  <r>
    <n v="1778"/>
    <s v="23-Aug-2024"/>
    <x v="2"/>
    <x v="0"/>
    <x v="3"/>
    <x v="1"/>
    <s v="Tablet"/>
    <n v="137"/>
    <n v="5220"/>
    <n v="715140"/>
    <x v="2"/>
    <n v="572112"/>
    <n v="372607.63"/>
    <n v="199504.37"/>
    <n v="34.869999999999997"/>
    <x v="2"/>
  </r>
  <r>
    <n v="1765"/>
    <s v="23-Aug-2024"/>
    <x v="2"/>
    <x v="0"/>
    <x v="2"/>
    <x v="2"/>
    <s v="Office Chair"/>
    <n v="78"/>
    <n v="4723"/>
    <n v="368394"/>
    <x v="0"/>
    <n v="349974.3"/>
    <n v="199514.12"/>
    <n v="150460.18"/>
    <n v="42.99"/>
    <x v="1"/>
  </r>
  <r>
    <n v="1153"/>
    <s v="13-Feb-2024"/>
    <x v="1"/>
    <x v="1"/>
    <x v="2"/>
    <x v="1"/>
    <s v="Tablet"/>
    <n v="31"/>
    <n v="5473"/>
    <n v="169663"/>
    <x v="0"/>
    <n v="161179.85"/>
    <n v="105809.32"/>
    <n v="55370.53"/>
    <n v="34.35"/>
    <x v="6"/>
  </r>
  <r>
    <n v="1846"/>
    <s v="26-Sep-2024"/>
    <x v="9"/>
    <x v="0"/>
    <x v="0"/>
    <x v="4"/>
    <s v="Cricket Bat"/>
    <n v="61"/>
    <n v="1150"/>
    <n v="70150"/>
    <x v="0"/>
    <n v="66642.5"/>
    <n v="42705.03"/>
    <n v="23937.47"/>
    <n v="35.92"/>
    <x v="0"/>
  </r>
  <r>
    <n v="2104"/>
    <s v="15-Dec-2024"/>
    <x v="4"/>
    <x v="2"/>
    <x v="1"/>
    <x v="1"/>
    <s v="Headphones"/>
    <n v="101"/>
    <n v="874"/>
    <n v="88274"/>
    <x v="0"/>
    <n v="83860.3"/>
    <n v="55736.42"/>
    <n v="28123.88"/>
    <n v="33.54"/>
    <x v="7"/>
  </r>
  <r>
    <n v="1440"/>
    <s v="26-May-2024"/>
    <x v="6"/>
    <x v="3"/>
    <x v="0"/>
    <x v="2"/>
    <s v="Office Chair"/>
    <n v="66"/>
    <n v="4592"/>
    <n v="303072"/>
    <x v="0"/>
    <n v="287918.40000000002"/>
    <n v="177562.27"/>
    <n v="110356.13"/>
    <n v="38.33"/>
    <x v="6"/>
  </r>
  <r>
    <n v="1633"/>
    <s v="23-Jul-2024"/>
    <x v="0"/>
    <x v="0"/>
    <x v="0"/>
    <x v="3"/>
    <s v="Jackets"/>
    <n v="128"/>
    <n v="2076"/>
    <n v="265728"/>
    <x v="0"/>
    <n v="252441.60000000001"/>
    <n v="139882.32999999999"/>
    <n v="112559.27"/>
    <n v="44.59"/>
    <x v="4"/>
  </r>
  <r>
    <n v="1815"/>
    <s v="26-Sep-2024"/>
    <x v="9"/>
    <x v="0"/>
    <x v="1"/>
    <x v="2"/>
    <s v="Office Chair"/>
    <n v="127"/>
    <n v="5466"/>
    <n v="694182"/>
    <x v="2"/>
    <n v="555345.6"/>
    <n v="369579.76"/>
    <n v="185765.84"/>
    <n v="33.450000000000003"/>
    <x v="3"/>
  </r>
  <r>
    <n v="1051"/>
    <s v="21-Jan-2024"/>
    <x v="8"/>
    <x v="1"/>
    <x v="2"/>
    <x v="1"/>
    <s v="Laptop"/>
    <n v="17"/>
    <n v="12291"/>
    <n v="208947"/>
    <x v="3"/>
    <n v="208947"/>
    <n v="117216.99"/>
    <n v="91730.01"/>
    <n v="43.9"/>
    <x v="5"/>
  </r>
  <r>
    <n v="1173"/>
    <s v="13-Feb-2024"/>
    <x v="1"/>
    <x v="1"/>
    <x v="2"/>
    <x v="4"/>
    <s v="Yoga Mat"/>
    <n v="37"/>
    <n v="733"/>
    <n v="27121"/>
    <x v="1"/>
    <n v="23052.85"/>
    <n v="14821.98"/>
    <n v="8230.8700000000008"/>
    <n v="35.700000000000003"/>
    <x v="5"/>
  </r>
  <r>
    <n v="1719"/>
    <s v="23-Aug-2024"/>
    <x v="2"/>
    <x v="0"/>
    <x v="1"/>
    <x v="0"/>
    <s v="Frozen Foods"/>
    <n v="80"/>
    <n v="149"/>
    <n v="11920"/>
    <x v="0"/>
    <n v="11324"/>
    <n v="7489.26"/>
    <n v="3834.74"/>
    <n v="33.86"/>
    <x v="0"/>
  </r>
  <r>
    <n v="1269"/>
    <s v="08-Mar-2024"/>
    <x v="5"/>
    <x v="1"/>
    <x v="2"/>
    <x v="0"/>
    <s v="Frozen Foods"/>
    <n v="97"/>
    <n v="161"/>
    <n v="15617"/>
    <x v="3"/>
    <n v="15617"/>
    <n v="10255.84"/>
    <n v="5361.16"/>
    <n v="34.33"/>
    <x v="1"/>
  </r>
  <r>
    <n v="1822"/>
    <s v="26-Sep-2024"/>
    <x v="9"/>
    <x v="0"/>
    <x v="1"/>
    <x v="4"/>
    <s v="Football"/>
    <n v="98"/>
    <n v="564"/>
    <n v="55272"/>
    <x v="0"/>
    <n v="52508.4"/>
    <n v="35753.57"/>
    <n v="16754.830000000002"/>
    <n v="31.91"/>
    <x v="5"/>
  </r>
  <r>
    <n v="1474"/>
    <s v="26-May-2024"/>
    <x v="6"/>
    <x v="3"/>
    <x v="2"/>
    <x v="4"/>
    <s v="Dumbbells"/>
    <n v="74"/>
    <n v="1879"/>
    <n v="139046"/>
    <x v="3"/>
    <n v="139046"/>
    <n v="81947.179999999993"/>
    <n v="57098.82"/>
    <n v="41.06"/>
    <x v="2"/>
  </r>
  <r>
    <n v="1092"/>
    <s v="21-Jan-2024"/>
    <x v="8"/>
    <x v="1"/>
    <x v="3"/>
    <x v="0"/>
    <s v="Beverages"/>
    <n v="108"/>
    <n v="73"/>
    <n v="7884"/>
    <x v="3"/>
    <n v="7884"/>
    <n v="4609.6899999999996"/>
    <n v="3274.31"/>
    <n v="41.53"/>
    <x v="7"/>
  </r>
  <r>
    <n v="2176"/>
    <s v="15-Dec-2024"/>
    <x v="4"/>
    <x v="2"/>
    <x v="3"/>
    <x v="1"/>
    <s v="Laptop"/>
    <n v="122"/>
    <n v="12882"/>
    <n v="1571604"/>
    <x v="4"/>
    <n v="1414443.6"/>
    <n v="791971.54"/>
    <n v="622472.06000000006"/>
    <n v="44.01"/>
    <x v="0"/>
  </r>
  <r>
    <n v="2056"/>
    <s v="03-Nov-2024"/>
    <x v="10"/>
    <x v="2"/>
    <x v="2"/>
    <x v="3"/>
    <s v="T-Shirts"/>
    <n v="41"/>
    <n v="497"/>
    <n v="20377"/>
    <x v="3"/>
    <n v="20377"/>
    <n v="12958.33"/>
    <n v="7418.67"/>
    <n v="36.409999999999997"/>
    <x v="6"/>
  </r>
  <r>
    <n v="1627"/>
    <s v="23-Jul-2024"/>
    <x v="0"/>
    <x v="0"/>
    <x v="0"/>
    <x v="1"/>
    <s v="Smartphone"/>
    <n v="138"/>
    <n v="8024"/>
    <n v="1107312"/>
    <x v="3"/>
    <n v="1107312"/>
    <n v="619920.37"/>
    <n v="487391.63"/>
    <n v="44.02"/>
    <x v="0"/>
  </r>
  <r>
    <n v="2008"/>
    <s v="03-Nov-2024"/>
    <x v="10"/>
    <x v="2"/>
    <x v="1"/>
    <x v="3"/>
    <s v="Jackets"/>
    <n v="186"/>
    <n v="1857"/>
    <n v="345402"/>
    <x v="3"/>
    <n v="345402"/>
    <n v="232566.34"/>
    <n v="112835.66"/>
    <n v="32.67"/>
    <x v="7"/>
  </r>
  <r>
    <n v="1198"/>
    <s v="13-Feb-2024"/>
    <x v="1"/>
    <x v="1"/>
    <x v="3"/>
    <x v="4"/>
    <s v="Yoga Mat"/>
    <n v="111"/>
    <n v="736"/>
    <n v="81696"/>
    <x v="4"/>
    <n v="73526.399999999994"/>
    <n v="46444.41"/>
    <n v="27081.99"/>
    <n v="36.83"/>
    <x v="3"/>
  </r>
  <r>
    <n v="1024"/>
    <s v="21-Jan-2024"/>
    <x v="8"/>
    <x v="1"/>
    <x v="1"/>
    <x v="4"/>
    <s v="Dumbbells"/>
    <n v="128"/>
    <n v="2105"/>
    <n v="269440"/>
    <x v="3"/>
    <n v="269440"/>
    <n v="183374.88"/>
    <n v="86065.12"/>
    <n v="31.94"/>
    <x v="6"/>
  </r>
  <r>
    <n v="1896"/>
    <s v="26-Sep-2024"/>
    <x v="9"/>
    <x v="0"/>
    <x v="3"/>
    <x v="4"/>
    <s v="Cricket Bat"/>
    <n v="45"/>
    <n v="1088"/>
    <n v="48960"/>
    <x v="3"/>
    <n v="48960"/>
    <n v="30492.560000000001"/>
    <n v="18467.439999999999"/>
    <n v="37.72"/>
    <x v="1"/>
  </r>
  <r>
    <n v="1230"/>
    <s v="08-Mar-2024"/>
    <x v="5"/>
    <x v="1"/>
    <x v="0"/>
    <x v="1"/>
    <s v="Smart TV"/>
    <n v="101"/>
    <n v="13841"/>
    <n v="1397941"/>
    <x v="1"/>
    <n v="1188249.8500000001"/>
    <n v="673302.13"/>
    <n v="514947.72"/>
    <n v="43.34"/>
    <x v="2"/>
  </r>
  <r>
    <n v="1960"/>
    <s v="27-Oct-2024"/>
    <x v="3"/>
    <x v="2"/>
    <x v="2"/>
    <x v="3"/>
    <s v="Shoes"/>
    <n v="149"/>
    <n v="1644"/>
    <n v="244956"/>
    <x v="2"/>
    <n v="195964.79999999999"/>
    <n v="133269.65"/>
    <n v="62695.15"/>
    <n v="31.99"/>
    <x v="2"/>
  </r>
  <r>
    <n v="1387"/>
    <s v="08-Apr-2024"/>
    <x v="7"/>
    <x v="3"/>
    <x v="3"/>
    <x v="2"/>
    <s v="Dining Table"/>
    <n v="119"/>
    <n v="13148"/>
    <n v="1564612"/>
    <x v="1"/>
    <n v="1329920.2"/>
    <n v="806156.58"/>
    <n v="523763.62"/>
    <n v="39.380000000000003"/>
    <x v="0"/>
  </r>
  <r>
    <n v="1868"/>
    <s v="26-Sep-2024"/>
    <x v="9"/>
    <x v="0"/>
    <x v="2"/>
    <x v="0"/>
    <s v="Dairy Products"/>
    <n v="48"/>
    <n v="108"/>
    <n v="5184"/>
    <x v="3"/>
    <n v="5184"/>
    <n v="3605.25"/>
    <n v="1578.75"/>
    <n v="30.45"/>
    <x v="4"/>
  </r>
  <r>
    <n v="1187"/>
    <s v="13-Feb-2024"/>
    <x v="1"/>
    <x v="1"/>
    <x v="3"/>
    <x v="2"/>
    <s v="Dining Table"/>
    <n v="123"/>
    <n v="11138"/>
    <n v="1369974"/>
    <x v="0"/>
    <n v="1301475.3"/>
    <n v="883729.18"/>
    <n v="417746.12"/>
    <n v="32.1"/>
    <x v="0"/>
  </r>
  <r>
    <n v="1899"/>
    <s v="26-Sep-2024"/>
    <x v="9"/>
    <x v="0"/>
    <x v="3"/>
    <x v="4"/>
    <s v="Dumbbells"/>
    <n v="110"/>
    <n v="2171"/>
    <n v="238810"/>
    <x v="3"/>
    <n v="238810"/>
    <n v="148112.07999999999"/>
    <n v="90697.919999999998"/>
    <n v="37.979999999999997"/>
    <x v="4"/>
  </r>
  <r>
    <n v="1425"/>
    <s v="26-May-2024"/>
    <x v="6"/>
    <x v="3"/>
    <x v="1"/>
    <x v="4"/>
    <s v="Cycling Gear"/>
    <n v="92"/>
    <n v="3320"/>
    <n v="305440"/>
    <x v="0"/>
    <n v="290168"/>
    <n v="172648.86"/>
    <n v="117519.14"/>
    <n v="40.5"/>
    <x v="1"/>
  </r>
  <r>
    <n v="1087"/>
    <s v="21-Jan-2024"/>
    <x v="8"/>
    <x v="1"/>
    <x v="3"/>
    <x v="2"/>
    <s v="Dining Table"/>
    <n v="111"/>
    <n v="11091"/>
    <n v="1231101"/>
    <x v="3"/>
    <n v="1231101"/>
    <n v="825099.27"/>
    <n v="406001.73"/>
    <n v="32.979999999999997"/>
    <x v="3"/>
  </r>
  <r>
    <n v="2197"/>
    <s v="15-Dec-2024"/>
    <x v="4"/>
    <x v="2"/>
    <x v="3"/>
    <x v="4"/>
    <s v="Football"/>
    <n v="35"/>
    <n v="638"/>
    <n v="22330"/>
    <x v="0"/>
    <n v="21213.5"/>
    <n v="12077"/>
    <n v="9136.5"/>
    <n v="43.07"/>
    <x v="7"/>
  </r>
  <r>
    <n v="1289"/>
    <s v="08-Mar-2024"/>
    <x v="5"/>
    <x v="1"/>
    <x v="3"/>
    <x v="2"/>
    <s v="Bed Frame"/>
    <n v="110"/>
    <n v="10772"/>
    <n v="1184920"/>
    <x v="4"/>
    <n v="1066428"/>
    <n v="735841.34"/>
    <n v="330586.65999999997"/>
    <n v="31"/>
    <x v="0"/>
  </r>
  <r>
    <n v="1336"/>
    <s v="08-Apr-2024"/>
    <x v="7"/>
    <x v="3"/>
    <x v="0"/>
    <x v="2"/>
    <s v="Sofa"/>
    <n v="113"/>
    <n v="17207"/>
    <n v="1944391"/>
    <x v="3"/>
    <n v="1944391"/>
    <n v="1106940.8400000001"/>
    <n v="837450.16"/>
    <n v="43.07"/>
    <x v="1"/>
  </r>
  <r>
    <n v="1608"/>
    <s v="23-Jul-2024"/>
    <x v="0"/>
    <x v="0"/>
    <x v="1"/>
    <x v="3"/>
    <s v="Jackets"/>
    <n v="62"/>
    <n v="1907"/>
    <n v="118234"/>
    <x v="3"/>
    <n v="118234"/>
    <n v="67709.02"/>
    <n v="50524.98"/>
    <n v="42.73"/>
    <x v="1"/>
  </r>
  <r>
    <n v="2175"/>
    <s v="15-Dec-2024"/>
    <x v="4"/>
    <x v="2"/>
    <x v="2"/>
    <x v="4"/>
    <s v="Cycling Gear"/>
    <n v="60"/>
    <n v="3561"/>
    <n v="213660"/>
    <x v="3"/>
    <n v="213660"/>
    <n v="122116.5"/>
    <n v="91543.5"/>
    <n v="42.85"/>
    <x v="6"/>
  </r>
  <r>
    <n v="1178"/>
    <s v="13-Feb-2024"/>
    <x v="1"/>
    <x v="1"/>
    <x v="3"/>
    <x v="1"/>
    <s v="Tablet"/>
    <n v="111"/>
    <n v="4607"/>
    <n v="511377"/>
    <x v="1"/>
    <n v="434670.45"/>
    <n v="276358.43"/>
    <n v="158312.01999999999"/>
    <n v="36.42"/>
    <x v="6"/>
  </r>
  <r>
    <n v="1267"/>
    <s v="08-Mar-2024"/>
    <x v="5"/>
    <x v="1"/>
    <x v="2"/>
    <x v="0"/>
    <s v="Beverages"/>
    <n v="75"/>
    <n v="77"/>
    <n v="5775"/>
    <x v="1"/>
    <n v="4908.75"/>
    <n v="3070.11"/>
    <n v="1838.64"/>
    <n v="37.46"/>
    <x v="0"/>
  </r>
  <r>
    <n v="1137"/>
    <s v="13-Feb-2024"/>
    <x v="1"/>
    <x v="1"/>
    <x v="0"/>
    <x v="2"/>
    <s v="Dining Table"/>
    <n v="46"/>
    <n v="11356"/>
    <n v="522376"/>
    <x v="0"/>
    <n v="496257.2"/>
    <n v="325270.86"/>
    <n v="170986.34"/>
    <n v="34.46"/>
    <x v="2"/>
  </r>
  <r>
    <n v="1959"/>
    <s v="27-Oct-2024"/>
    <x v="3"/>
    <x v="2"/>
    <x v="2"/>
    <x v="3"/>
    <s v="Dresses"/>
    <n v="176"/>
    <n v="1635"/>
    <n v="287760"/>
    <x v="0"/>
    <n v="273372"/>
    <n v="180795.94"/>
    <n v="92576.06"/>
    <n v="33.86"/>
    <x v="5"/>
  </r>
  <r>
    <n v="1490"/>
    <s v="26-May-2024"/>
    <x v="6"/>
    <x v="3"/>
    <x v="3"/>
    <x v="2"/>
    <s v="Office Chair"/>
    <n v="126"/>
    <n v="4737"/>
    <n v="596862"/>
    <x v="4"/>
    <n v="537175.80000000005"/>
    <n v="364826.87"/>
    <n v="172348.93"/>
    <n v="32.08"/>
    <x v="0"/>
  </r>
  <r>
    <n v="1328"/>
    <s v="08-Apr-2024"/>
    <x v="7"/>
    <x v="3"/>
    <x v="0"/>
    <x v="1"/>
    <s v="Tablet"/>
    <n v="30"/>
    <n v="4790"/>
    <n v="143700"/>
    <x v="1"/>
    <n v="122145"/>
    <n v="83012.740000000005"/>
    <n v="39132.26"/>
    <n v="32.04"/>
    <x v="0"/>
  </r>
  <r>
    <n v="1421"/>
    <s v="26-May-2024"/>
    <x v="6"/>
    <x v="3"/>
    <x v="1"/>
    <x v="4"/>
    <s v="Cricket Bat"/>
    <n v="122"/>
    <n v="1084"/>
    <n v="132248"/>
    <x v="1"/>
    <n v="112410.8"/>
    <n v="62025.77"/>
    <n v="50385.03"/>
    <n v="44.82"/>
    <x v="6"/>
  </r>
  <r>
    <n v="1703"/>
    <s v="23-Aug-2024"/>
    <x v="2"/>
    <x v="0"/>
    <x v="1"/>
    <x v="1"/>
    <s v="Tablet"/>
    <n v="58"/>
    <n v="5325"/>
    <n v="308850"/>
    <x v="0"/>
    <n v="293407.5"/>
    <n v="192920.77"/>
    <n v="100486.73"/>
    <n v="34.25"/>
    <x v="1"/>
  </r>
  <r>
    <n v="2073"/>
    <s v="03-Nov-2024"/>
    <x v="10"/>
    <x v="2"/>
    <x v="2"/>
    <x v="4"/>
    <s v="Yoga Mat"/>
    <n v="107"/>
    <n v="804"/>
    <n v="86028"/>
    <x v="2"/>
    <n v="68822.399999999994"/>
    <n v="41481.15"/>
    <n v="27341.25"/>
    <n v="39.729999999999997"/>
    <x v="6"/>
  </r>
  <r>
    <n v="1134"/>
    <s v="13-Feb-2024"/>
    <x v="1"/>
    <x v="1"/>
    <x v="0"/>
    <x v="3"/>
    <s v="Dresses"/>
    <n v="48"/>
    <n v="1536"/>
    <n v="73728"/>
    <x v="3"/>
    <n v="73728"/>
    <n v="51029.99"/>
    <n v="22698.01"/>
    <n v="30.79"/>
    <x v="5"/>
  </r>
  <r>
    <n v="1782"/>
    <s v="23-Aug-2024"/>
    <x v="2"/>
    <x v="0"/>
    <x v="3"/>
    <x v="3"/>
    <s v="Jeans"/>
    <n v="95"/>
    <n v="1177"/>
    <n v="111815"/>
    <x v="3"/>
    <n v="111815"/>
    <n v="76232.820000000007"/>
    <n v="35582.18"/>
    <n v="31.82"/>
    <x v="6"/>
  </r>
  <r>
    <n v="1665"/>
    <s v="23-Jul-2024"/>
    <x v="0"/>
    <x v="0"/>
    <x v="2"/>
    <x v="2"/>
    <s v="Office Chair"/>
    <n v="138"/>
    <n v="4631"/>
    <n v="639078"/>
    <x v="3"/>
    <n v="639078"/>
    <n v="408021.86"/>
    <n v="231056.14"/>
    <n v="36.15"/>
    <x v="7"/>
  </r>
  <r>
    <n v="1787"/>
    <s v="23-Aug-2024"/>
    <x v="2"/>
    <x v="0"/>
    <x v="3"/>
    <x v="2"/>
    <s v="Dining Table"/>
    <n v="40"/>
    <n v="10840"/>
    <n v="433600"/>
    <x v="1"/>
    <n v="368560"/>
    <n v="248401.01"/>
    <n v="120158.99"/>
    <n v="32.6"/>
    <x v="1"/>
  </r>
  <r>
    <n v="1731"/>
    <s v="23-Aug-2024"/>
    <x v="2"/>
    <x v="0"/>
    <x v="0"/>
    <x v="3"/>
    <s v="T-Shirts"/>
    <n v="140"/>
    <n v="516"/>
    <n v="72240"/>
    <x v="4"/>
    <n v="65016"/>
    <n v="39277.440000000002"/>
    <n v="25738.560000000001"/>
    <n v="39.590000000000003"/>
    <x v="5"/>
  </r>
  <r>
    <n v="1529"/>
    <s v="07-Jun-2024"/>
    <x v="11"/>
    <x v="3"/>
    <x v="0"/>
    <x v="1"/>
    <s v="Headphones"/>
    <n v="120"/>
    <n v="855"/>
    <n v="102600"/>
    <x v="3"/>
    <n v="102600"/>
    <n v="60192.54"/>
    <n v="42407.46"/>
    <n v="41.33"/>
    <x v="0"/>
  </r>
  <r>
    <n v="1256"/>
    <s v="08-Mar-2024"/>
    <x v="5"/>
    <x v="1"/>
    <x v="2"/>
    <x v="3"/>
    <s v="T-Shirts"/>
    <n v="59"/>
    <n v="508"/>
    <n v="29972"/>
    <x v="3"/>
    <n v="29972"/>
    <n v="20606.11"/>
    <n v="9365.89"/>
    <n v="31.25"/>
    <x v="6"/>
  </r>
  <r>
    <n v="1162"/>
    <s v="13-Feb-2024"/>
    <x v="1"/>
    <x v="1"/>
    <x v="2"/>
    <x v="2"/>
    <s v="Dining Table"/>
    <n v="84"/>
    <n v="11361"/>
    <n v="954324"/>
    <x v="1"/>
    <n v="811175.4"/>
    <n v="451457.31"/>
    <n v="359718.09"/>
    <n v="44.35"/>
    <x v="2"/>
  </r>
  <r>
    <n v="1114"/>
    <s v="13-Feb-2024"/>
    <x v="1"/>
    <x v="1"/>
    <x v="1"/>
    <x v="2"/>
    <s v="Bed Frame"/>
    <n v="93"/>
    <n v="10839"/>
    <n v="1008027"/>
    <x v="2"/>
    <n v="806421.6"/>
    <n v="499764.52"/>
    <n v="306657.08"/>
    <n v="38.03"/>
    <x v="6"/>
  </r>
  <r>
    <n v="1085"/>
    <s v="21-Jan-2024"/>
    <x v="8"/>
    <x v="1"/>
    <x v="3"/>
    <x v="3"/>
    <s v="Shoes"/>
    <n v="108"/>
    <n v="1930"/>
    <n v="208440"/>
    <x v="3"/>
    <n v="208440"/>
    <n v="138980.09"/>
    <n v="69459.91"/>
    <n v="33.32"/>
    <x v="5"/>
  </r>
  <r>
    <n v="1590"/>
    <s v="07-Jun-2024"/>
    <x v="11"/>
    <x v="3"/>
    <x v="3"/>
    <x v="2"/>
    <s v="Office Chair"/>
    <n v="155"/>
    <n v="4641"/>
    <n v="719355"/>
    <x v="3"/>
    <n v="719355"/>
    <n v="421325.78"/>
    <n v="298029.21999999997"/>
    <n v="41.43"/>
    <x v="3"/>
  </r>
  <r>
    <n v="1981"/>
    <s v="27-Oct-2024"/>
    <x v="3"/>
    <x v="2"/>
    <x v="3"/>
    <x v="3"/>
    <s v="T-Shirts"/>
    <n v="32"/>
    <n v="485"/>
    <n v="15520"/>
    <x v="3"/>
    <n v="15520"/>
    <n v="10523.71"/>
    <n v="4996.29"/>
    <n v="32.19"/>
    <x v="6"/>
  </r>
  <r>
    <n v="2189"/>
    <s v="15-Dec-2024"/>
    <x v="4"/>
    <x v="2"/>
    <x v="3"/>
    <x v="2"/>
    <s v="Bed Frame"/>
    <n v="179"/>
    <n v="10198"/>
    <n v="1825442"/>
    <x v="3"/>
    <n v="1825442"/>
    <n v="1152870.3999999999"/>
    <n v="672571.6"/>
    <n v="36.840000000000003"/>
    <x v="3"/>
  </r>
  <r>
    <n v="1644"/>
    <s v="23-Jul-2024"/>
    <x v="0"/>
    <x v="0"/>
    <x v="0"/>
    <x v="0"/>
    <s v="Frozen Foods"/>
    <n v="115"/>
    <n v="155"/>
    <n v="17825"/>
    <x v="3"/>
    <n v="17825"/>
    <n v="11556.13"/>
    <n v="6268.87"/>
    <n v="35.17"/>
    <x v="6"/>
  </r>
  <r>
    <n v="2090"/>
    <s v="03-Nov-2024"/>
    <x v="10"/>
    <x v="2"/>
    <x v="3"/>
    <x v="2"/>
    <s v="Office Chair"/>
    <n v="94"/>
    <n v="5353"/>
    <n v="503182"/>
    <x v="4"/>
    <n v="452863.8"/>
    <n v="254540.48"/>
    <n v="198323.32"/>
    <n v="43.79"/>
    <x v="2"/>
  </r>
  <r>
    <n v="2041"/>
    <s v="03-Nov-2024"/>
    <x v="10"/>
    <x v="2"/>
    <x v="0"/>
    <x v="0"/>
    <s v="Organic Snacks"/>
    <n v="96"/>
    <n v="197"/>
    <n v="18912"/>
    <x v="0"/>
    <n v="17966.400000000001"/>
    <n v="11666.9"/>
    <n v="6299.5"/>
    <n v="35.06"/>
    <x v="2"/>
  </r>
  <r>
    <n v="1004"/>
    <s v="21-Jan-2024"/>
    <x v="8"/>
    <x v="1"/>
    <x v="1"/>
    <x v="1"/>
    <s v="Headphones"/>
    <n v="42"/>
    <n v="814"/>
    <n v="34188"/>
    <x v="3"/>
    <n v="34188"/>
    <n v="22694.720000000001"/>
    <n v="11493.28"/>
    <n v="33.619999999999997"/>
    <x v="7"/>
  </r>
  <r>
    <n v="2002"/>
    <s v="03-Nov-2024"/>
    <x v="10"/>
    <x v="2"/>
    <x v="1"/>
    <x v="1"/>
    <s v="Smartphone"/>
    <n v="156"/>
    <n v="8548"/>
    <n v="1333488"/>
    <x v="1"/>
    <n v="1133464.8"/>
    <n v="655263.75"/>
    <n v="478201.05"/>
    <n v="42.19"/>
    <x v="1"/>
  </r>
  <r>
    <n v="2043"/>
    <s v="03-Nov-2024"/>
    <x v="10"/>
    <x v="2"/>
    <x v="0"/>
    <x v="0"/>
    <s v="Dairy Products"/>
    <n v="76"/>
    <n v="129"/>
    <n v="9804"/>
    <x v="3"/>
    <n v="9804"/>
    <n v="5589.67"/>
    <n v="4214.33"/>
    <n v="42.99"/>
    <x v="1"/>
  </r>
  <r>
    <n v="1811"/>
    <s v="26-Sep-2024"/>
    <x v="9"/>
    <x v="0"/>
    <x v="1"/>
    <x v="2"/>
    <s v="Sofa"/>
    <n v="161"/>
    <n v="18179"/>
    <n v="2926819"/>
    <x v="4"/>
    <n v="2634137.1"/>
    <n v="1586069.96"/>
    <n v="1048067.14"/>
    <n v="39.79"/>
    <x v="6"/>
  </r>
  <r>
    <n v="1455"/>
    <s v="26-May-2024"/>
    <x v="6"/>
    <x v="3"/>
    <x v="2"/>
    <x v="1"/>
    <s v="Smart TV"/>
    <n v="157"/>
    <n v="14129"/>
    <n v="2218253"/>
    <x v="0"/>
    <n v="2107340.35"/>
    <n v="1421806.25"/>
    <n v="685534.1"/>
    <n v="32.53"/>
    <x v="1"/>
  </r>
  <r>
    <n v="1646"/>
    <s v="23-Jul-2024"/>
    <x v="0"/>
    <x v="0"/>
    <x v="0"/>
    <x v="4"/>
    <s v="Cricket Bat"/>
    <n v="70"/>
    <n v="1251"/>
    <n v="87570"/>
    <x v="2"/>
    <n v="70056"/>
    <n v="48056.94"/>
    <n v="21999.06"/>
    <n v="31.4"/>
    <x v="3"/>
  </r>
  <r>
    <n v="2070"/>
    <s v="03-Nov-2024"/>
    <x v="10"/>
    <x v="2"/>
    <x v="2"/>
    <x v="0"/>
    <s v="Condiments"/>
    <n v="182"/>
    <n v="86"/>
    <n v="15652"/>
    <x v="1"/>
    <n v="13304.2"/>
    <n v="8237.51"/>
    <n v="5066.6899999999996"/>
    <n v="38.08"/>
    <x v="5"/>
  </r>
  <r>
    <n v="2148"/>
    <s v="15-Dec-2024"/>
    <x v="4"/>
    <x v="2"/>
    <x v="0"/>
    <x v="4"/>
    <s v="Yoga Mat"/>
    <n v="112"/>
    <n v="779"/>
    <n v="87248"/>
    <x v="3"/>
    <n v="87248"/>
    <n v="50451.42"/>
    <n v="36796.58"/>
    <n v="42.17"/>
    <x v="2"/>
  </r>
  <r>
    <n v="1054"/>
    <s v="21-Jan-2024"/>
    <x v="8"/>
    <x v="1"/>
    <x v="2"/>
    <x v="1"/>
    <s v="Headphones"/>
    <n v="89"/>
    <n v="809"/>
    <n v="72001"/>
    <x v="3"/>
    <n v="72001"/>
    <n v="49741.13"/>
    <n v="22259.87"/>
    <n v="30.92"/>
    <x v="7"/>
  </r>
  <r>
    <n v="1781"/>
    <s v="23-Aug-2024"/>
    <x v="2"/>
    <x v="0"/>
    <x v="3"/>
    <x v="3"/>
    <s v="T-Shirts"/>
    <n v="149"/>
    <n v="465"/>
    <n v="69285"/>
    <x v="3"/>
    <n v="69285"/>
    <n v="40790.78"/>
    <n v="28494.22"/>
    <n v="41.13"/>
    <x v="7"/>
  </r>
  <r>
    <n v="2079"/>
    <s v="03-Nov-2024"/>
    <x v="10"/>
    <x v="2"/>
    <x v="3"/>
    <x v="1"/>
    <s v="Headphones"/>
    <n v="78"/>
    <n v="730"/>
    <n v="56940"/>
    <x v="1"/>
    <n v="48399"/>
    <n v="29034.47"/>
    <n v="19364.53"/>
    <n v="40.01"/>
    <x v="4"/>
  </r>
  <r>
    <n v="2062"/>
    <s v="03-Nov-2024"/>
    <x v="10"/>
    <x v="2"/>
    <x v="2"/>
    <x v="2"/>
    <s v="Dining Table"/>
    <n v="214"/>
    <n v="12229"/>
    <n v="2617006"/>
    <x v="3"/>
    <n v="2617006"/>
    <n v="1768159.52"/>
    <n v="848846.48"/>
    <n v="32.44"/>
    <x v="0"/>
  </r>
  <r>
    <n v="1465"/>
    <s v="26-May-2024"/>
    <x v="6"/>
    <x v="3"/>
    <x v="2"/>
    <x v="2"/>
    <s v="Office Chair"/>
    <n v="91"/>
    <n v="4795"/>
    <n v="436345"/>
    <x v="3"/>
    <n v="436345"/>
    <n v="247586.69"/>
    <n v="188758.31"/>
    <n v="43.26"/>
    <x v="7"/>
  </r>
  <r>
    <n v="1335"/>
    <s v="08-Apr-2024"/>
    <x v="7"/>
    <x v="3"/>
    <x v="0"/>
    <x v="3"/>
    <s v="Shoes"/>
    <n v="89"/>
    <n v="1690"/>
    <n v="150410"/>
    <x v="0"/>
    <n v="142889.5"/>
    <n v="80165.259999999995"/>
    <n v="62724.24"/>
    <n v="43.9"/>
    <x v="2"/>
  </r>
  <r>
    <n v="1756"/>
    <s v="23-Aug-2024"/>
    <x v="2"/>
    <x v="0"/>
    <x v="2"/>
    <x v="3"/>
    <s v="T-Shirts"/>
    <n v="158"/>
    <n v="482"/>
    <n v="76156"/>
    <x v="2"/>
    <n v="60924.800000000003"/>
    <n v="36509.300000000003"/>
    <n v="24415.5"/>
    <n v="40.07"/>
    <x v="6"/>
  </r>
  <r>
    <n v="1561"/>
    <s v="07-Jun-2024"/>
    <x v="11"/>
    <x v="3"/>
    <x v="2"/>
    <x v="2"/>
    <s v="Sofa"/>
    <n v="143"/>
    <n v="16703"/>
    <n v="2388529"/>
    <x v="3"/>
    <n v="2388529"/>
    <n v="1335785.75"/>
    <n v="1052743.25"/>
    <n v="44.07"/>
    <x v="5"/>
  </r>
  <r>
    <n v="2040"/>
    <s v="03-Nov-2024"/>
    <x v="10"/>
    <x v="2"/>
    <x v="0"/>
    <x v="2"/>
    <s v="Office Chair"/>
    <n v="176"/>
    <n v="4735"/>
    <n v="833360"/>
    <x v="1"/>
    <n v="708356"/>
    <n v="456026.95"/>
    <n v="252329.05"/>
    <n v="35.619999999999997"/>
    <x v="0"/>
  </r>
  <r>
    <n v="1980"/>
    <s v="27-Oct-2024"/>
    <x v="3"/>
    <x v="2"/>
    <x v="3"/>
    <x v="1"/>
    <s v="Smart TV"/>
    <n v="120"/>
    <n v="15173"/>
    <n v="1820760"/>
    <x v="0"/>
    <n v="1729722"/>
    <n v="964039.49"/>
    <n v="765682.51"/>
    <n v="44.27"/>
    <x v="7"/>
  </r>
  <r>
    <n v="1431"/>
    <s v="26-May-2024"/>
    <x v="6"/>
    <x v="3"/>
    <x v="0"/>
    <x v="3"/>
    <s v="T-Shirts"/>
    <n v="43"/>
    <n v="535"/>
    <n v="23005"/>
    <x v="3"/>
    <n v="23005"/>
    <n v="15970.54"/>
    <n v="7034.46"/>
    <n v="30.58"/>
    <x v="7"/>
  </r>
  <r>
    <n v="1361"/>
    <s v="08-Apr-2024"/>
    <x v="7"/>
    <x v="3"/>
    <x v="2"/>
    <x v="2"/>
    <s v="Sofa"/>
    <n v="76"/>
    <n v="19566"/>
    <n v="1487016"/>
    <x v="2"/>
    <n v="1189612.8"/>
    <n v="739483.87"/>
    <n v="450128.93"/>
    <n v="37.840000000000003"/>
    <x v="5"/>
  </r>
  <r>
    <n v="2161"/>
    <s v="15-Dec-2024"/>
    <x v="4"/>
    <x v="2"/>
    <x v="2"/>
    <x v="2"/>
    <s v="Sofa"/>
    <n v="61"/>
    <n v="17814"/>
    <n v="1086654"/>
    <x v="3"/>
    <n v="1086654"/>
    <n v="684642.49"/>
    <n v="402011.51"/>
    <n v="37"/>
    <x v="1"/>
  </r>
  <r>
    <n v="1268"/>
    <s v="08-Mar-2024"/>
    <x v="5"/>
    <x v="1"/>
    <x v="2"/>
    <x v="0"/>
    <s v="Dairy Products"/>
    <n v="137"/>
    <n v="128"/>
    <n v="17536"/>
    <x v="3"/>
    <n v="17536"/>
    <n v="11941.14"/>
    <n v="5594.86"/>
    <n v="31.9"/>
    <x v="4"/>
  </r>
  <r>
    <n v="1716"/>
    <s v="23-Aug-2024"/>
    <x v="2"/>
    <x v="0"/>
    <x v="1"/>
    <x v="0"/>
    <s v="Organic Snacks"/>
    <n v="151"/>
    <n v="201"/>
    <n v="30351"/>
    <x v="3"/>
    <n v="30351"/>
    <n v="18427.02"/>
    <n v="11923.98"/>
    <n v="39.29"/>
    <x v="4"/>
  </r>
  <r>
    <n v="1859"/>
    <s v="26-Sep-2024"/>
    <x v="9"/>
    <x v="0"/>
    <x v="2"/>
    <x v="3"/>
    <s v="Dresses"/>
    <n v="66"/>
    <n v="1474"/>
    <n v="97284"/>
    <x v="3"/>
    <n v="97284"/>
    <n v="57936.12"/>
    <n v="39347.879999999997"/>
    <n v="40.450000000000003"/>
    <x v="4"/>
  </r>
  <r>
    <n v="1103"/>
    <s v="13-Feb-2024"/>
    <x v="1"/>
    <x v="1"/>
    <x v="1"/>
    <x v="1"/>
    <s v="Tablet"/>
    <n v="75"/>
    <n v="5249"/>
    <n v="393675"/>
    <x v="3"/>
    <n v="393675"/>
    <n v="275567.06"/>
    <n v="118107.94"/>
    <n v="30"/>
    <x v="3"/>
  </r>
  <r>
    <n v="2184"/>
    <s v="15-Dec-2024"/>
    <x v="4"/>
    <x v="2"/>
    <x v="3"/>
    <x v="3"/>
    <s v="Dresses"/>
    <n v="199"/>
    <n v="1538"/>
    <n v="306062"/>
    <x v="2"/>
    <n v="244849.6"/>
    <n v="170449.31"/>
    <n v="74400.289999999994"/>
    <n v="30.39"/>
    <x v="1"/>
  </r>
  <r>
    <n v="1735"/>
    <s v="23-Aug-2024"/>
    <x v="2"/>
    <x v="0"/>
    <x v="0"/>
    <x v="3"/>
    <s v="Shoes"/>
    <n v="73"/>
    <n v="1814"/>
    <n v="132422"/>
    <x v="0"/>
    <n v="125800.9"/>
    <n v="69656.7"/>
    <n v="56144.2"/>
    <n v="44.63"/>
    <x v="3"/>
  </r>
  <r>
    <n v="1341"/>
    <s v="08-Apr-2024"/>
    <x v="7"/>
    <x v="3"/>
    <x v="0"/>
    <x v="0"/>
    <s v="Organic Snacks"/>
    <n v="39"/>
    <n v="220"/>
    <n v="8580"/>
    <x v="0"/>
    <n v="8151"/>
    <n v="5208.97"/>
    <n v="2942.03"/>
    <n v="36.090000000000003"/>
    <x v="2"/>
  </r>
  <r>
    <n v="1423"/>
    <s v="26-May-2024"/>
    <x v="6"/>
    <x v="3"/>
    <x v="1"/>
    <x v="4"/>
    <s v="Yoga Mat"/>
    <n v="39"/>
    <n v="735"/>
    <n v="28665"/>
    <x v="3"/>
    <n v="28665"/>
    <n v="16801.86"/>
    <n v="11863.14"/>
    <n v="41.39"/>
    <x v="6"/>
  </r>
  <r>
    <n v="1936"/>
    <s v="27-Oct-2024"/>
    <x v="3"/>
    <x v="2"/>
    <x v="0"/>
    <x v="2"/>
    <s v="Sofa"/>
    <n v="78"/>
    <n v="19462"/>
    <n v="1518036"/>
    <x v="3"/>
    <n v="1518036"/>
    <n v="893088.59"/>
    <n v="624947.41"/>
    <n v="41.17"/>
    <x v="4"/>
  </r>
  <r>
    <n v="1483"/>
    <s v="26-May-2024"/>
    <x v="6"/>
    <x v="3"/>
    <x v="3"/>
    <x v="3"/>
    <s v="Jackets"/>
    <n v="77"/>
    <n v="2136"/>
    <n v="164472"/>
    <x v="2"/>
    <n v="131577.60000000001"/>
    <n v="75668.7"/>
    <n v="55908.9"/>
    <n v="42.49"/>
    <x v="4"/>
  </r>
  <r>
    <n v="1504"/>
    <s v="07-Jun-2024"/>
    <x v="11"/>
    <x v="3"/>
    <x v="1"/>
    <x v="1"/>
    <s v="Headphones"/>
    <n v="93"/>
    <n v="720"/>
    <n v="66960"/>
    <x v="1"/>
    <n v="56916"/>
    <n v="33031.07"/>
    <n v="23884.93"/>
    <n v="41.97"/>
    <x v="7"/>
  </r>
  <r>
    <n v="1799"/>
    <s v="23-Aug-2024"/>
    <x v="2"/>
    <x v="0"/>
    <x v="3"/>
    <x v="4"/>
    <s v="Dumbbells"/>
    <n v="58"/>
    <n v="1923"/>
    <n v="111534"/>
    <x v="4"/>
    <n v="100380.6"/>
    <n v="66866.45"/>
    <n v="33514.15"/>
    <n v="33.39"/>
    <x v="0"/>
  </r>
  <r>
    <n v="1864"/>
    <s v="26-Sep-2024"/>
    <x v="9"/>
    <x v="0"/>
    <x v="2"/>
    <x v="2"/>
    <s v="Bed Frame"/>
    <n v="124"/>
    <n v="10292"/>
    <n v="1276208"/>
    <x v="1"/>
    <n v="1084776.8"/>
    <n v="632521.27"/>
    <n v="452255.53"/>
    <n v="41.69"/>
    <x v="1"/>
  </r>
  <r>
    <n v="1083"/>
    <s v="21-Jan-2024"/>
    <x v="8"/>
    <x v="1"/>
    <x v="3"/>
    <x v="3"/>
    <s v="Jackets"/>
    <n v="41"/>
    <n v="1990"/>
    <n v="81590"/>
    <x v="3"/>
    <n v="81590"/>
    <n v="50448.11"/>
    <n v="31141.89"/>
    <n v="38.17"/>
    <x v="5"/>
  </r>
  <r>
    <n v="1281"/>
    <s v="08-Mar-2024"/>
    <x v="5"/>
    <x v="1"/>
    <x v="3"/>
    <x v="3"/>
    <s v="T-Shirts"/>
    <n v="89"/>
    <n v="474"/>
    <n v="42186"/>
    <x v="1"/>
    <n v="35858.1"/>
    <n v="20729.46"/>
    <n v="15128.64"/>
    <n v="42.19"/>
    <x v="1"/>
  </r>
  <r>
    <n v="1035"/>
    <s v="21-Jan-2024"/>
    <x v="8"/>
    <x v="1"/>
    <x v="0"/>
    <x v="3"/>
    <s v="Shoes"/>
    <n v="36"/>
    <n v="1668"/>
    <n v="60048"/>
    <x v="2"/>
    <n v="48038.400000000001"/>
    <n v="28172.1"/>
    <n v="19866.3"/>
    <n v="41.36"/>
    <x v="2"/>
  </r>
  <r>
    <n v="2151"/>
    <s v="15-Dec-2024"/>
    <x v="4"/>
    <x v="2"/>
    <x v="2"/>
    <x v="1"/>
    <s v="Laptop"/>
    <n v="138"/>
    <n v="12305"/>
    <n v="1698090"/>
    <x v="0"/>
    <n v="1613185.5"/>
    <n v="988044.66"/>
    <n v="625140.84"/>
    <n v="38.75"/>
    <x v="7"/>
  </r>
  <r>
    <n v="2145"/>
    <s v="15-Dec-2024"/>
    <x v="4"/>
    <x v="2"/>
    <x v="0"/>
    <x v="0"/>
    <s v="Condiments"/>
    <n v="168"/>
    <n v="95"/>
    <n v="15960"/>
    <x v="4"/>
    <n v="14364"/>
    <n v="8660.15"/>
    <n v="5703.85"/>
    <n v="39.71"/>
    <x v="6"/>
  </r>
  <r>
    <n v="2168"/>
    <s v="15-Dec-2024"/>
    <x v="4"/>
    <x v="2"/>
    <x v="2"/>
    <x v="0"/>
    <s v="Dairy Products"/>
    <n v="150"/>
    <n v="113"/>
    <n v="16950"/>
    <x v="0"/>
    <n v="16102.5"/>
    <n v="9329.1"/>
    <n v="6773.4"/>
    <n v="42.06"/>
    <x v="1"/>
  </r>
  <r>
    <n v="1876"/>
    <s v="26-Sep-2024"/>
    <x v="9"/>
    <x v="0"/>
    <x v="3"/>
    <x v="1"/>
    <s v="Laptop"/>
    <n v="54"/>
    <n v="13187"/>
    <n v="712098"/>
    <x v="0"/>
    <n v="676493.1"/>
    <n v="418833.91999999998"/>
    <n v="257659.18"/>
    <n v="38.090000000000003"/>
    <x v="1"/>
  </r>
  <r>
    <n v="1912"/>
    <s v="27-Oct-2024"/>
    <x v="3"/>
    <x v="2"/>
    <x v="1"/>
    <x v="2"/>
    <s v="Dining Table"/>
    <n v="63"/>
    <n v="11556"/>
    <n v="728028"/>
    <x v="0"/>
    <n v="691626.6"/>
    <n v="475746.98"/>
    <n v="215879.62"/>
    <n v="31.21"/>
    <x v="7"/>
  </r>
  <r>
    <n v="1647"/>
    <s v="23-Jul-2024"/>
    <x v="0"/>
    <x v="0"/>
    <x v="0"/>
    <x v="4"/>
    <s v="Football"/>
    <n v="93"/>
    <n v="641"/>
    <n v="59613"/>
    <x v="3"/>
    <n v="59613"/>
    <n v="35414.15"/>
    <n v="24198.85"/>
    <n v="40.590000000000003"/>
    <x v="2"/>
  </r>
  <r>
    <n v="1450"/>
    <s v="26-May-2024"/>
    <x v="6"/>
    <x v="3"/>
    <x v="0"/>
    <x v="4"/>
    <s v="Cycling Gear"/>
    <n v="77"/>
    <n v="3451"/>
    <n v="265727"/>
    <x v="3"/>
    <n v="265727"/>
    <n v="158124.92000000001"/>
    <n v="107602.08"/>
    <n v="40.49"/>
    <x v="5"/>
  </r>
  <r>
    <n v="1165"/>
    <s v="13-Feb-2024"/>
    <x v="1"/>
    <x v="1"/>
    <x v="2"/>
    <x v="2"/>
    <s v="Office Chair"/>
    <n v="29"/>
    <n v="5410"/>
    <n v="156890"/>
    <x v="3"/>
    <n v="156890"/>
    <n v="103291.13"/>
    <n v="53598.87"/>
    <n v="34.159999999999997"/>
    <x v="0"/>
  </r>
  <r>
    <n v="1305"/>
    <s v="08-Apr-2024"/>
    <x v="7"/>
    <x v="3"/>
    <x v="1"/>
    <x v="1"/>
    <s v="Smart TV"/>
    <n v="152"/>
    <n v="13853"/>
    <n v="2105656"/>
    <x v="0"/>
    <n v="2000373.2"/>
    <n v="1311456.02"/>
    <n v="688917.18"/>
    <n v="34.44"/>
    <x v="5"/>
  </r>
  <r>
    <n v="1931"/>
    <s v="27-Oct-2024"/>
    <x v="3"/>
    <x v="2"/>
    <x v="0"/>
    <x v="3"/>
    <s v="T-Shirts"/>
    <n v="45"/>
    <n v="523"/>
    <n v="23535"/>
    <x v="3"/>
    <n v="23535"/>
    <n v="13340.95"/>
    <n v="10194.049999999999"/>
    <n v="43.31"/>
    <x v="4"/>
  </r>
  <r>
    <n v="1775"/>
    <s v="23-Aug-2024"/>
    <x v="2"/>
    <x v="0"/>
    <x v="2"/>
    <x v="4"/>
    <s v="Cycling Gear"/>
    <n v="96"/>
    <n v="3487"/>
    <n v="334752"/>
    <x v="3"/>
    <n v="334752"/>
    <n v="209312.24"/>
    <n v="125439.76"/>
    <n v="37.47"/>
    <x v="7"/>
  </r>
  <r>
    <n v="1843"/>
    <s v="26-Sep-2024"/>
    <x v="9"/>
    <x v="0"/>
    <x v="0"/>
    <x v="0"/>
    <s v="Dairy Products"/>
    <n v="135"/>
    <n v="117"/>
    <n v="15795"/>
    <x v="0"/>
    <n v="15005.25"/>
    <n v="9296.69"/>
    <n v="5708.56"/>
    <n v="38.04"/>
    <x v="7"/>
  </r>
  <r>
    <n v="1946"/>
    <s v="27-Oct-2024"/>
    <x v="3"/>
    <x v="2"/>
    <x v="0"/>
    <x v="4"/>
    <s v="Cricket Bat"/>
    <n v="56"/>
    <n v="1162"/>
    <n v="65072"/>
    <x v="1"/>
    <n v="55311.199999999997"/>
    <n v="35871.51"/>
    <n v="19439.689999999999"/>
    <n v="35.15"/>
    <x v="1"/>
  </r>
  <r>
    <n v="2036"/>
    <s v="03-Nov-2024"/>
    <x v="10"/>
    <x v="2"/>
    <x v="0"/>
    <x v="2"/>
    <s v="Sofa"/>
    <n v="78"/>
    <n v="19060"/>
    <n v="1486680"/>
    <x v="0"/>
    <n v="1412346"/>
    <n v="971376.61"/>
    <n v="440969.39"/>
    <n v="31.22"/>
    <x v="0"/>
  </r>
  <r>
    <n v="1262"/>
    <s v="08-Mar-2024"/>
    <x v="5"/>
    <x v="1"/>
    <x v="2"/>
    <x v="2"/>
    <s v="Dining Table"/>
    <n v="100"/>
    <n v="12903"/>
    <n v="1290300"/>
    <x v="3"/>
    <n v="1290300"/>
    <n v="825259.06"/>
    <n v="465040.94"/>
    <n v="36.04"/>
    <x v="7"/>
  </r>
  <r>
    <n v="1403"/>
    <s v="26-May-2024"/>
    <x v="6"/>
    <x v="3"/>
    <x v="1"/>
    <x v="1"/>
    <s v="Tablet"/>
    <n v="151"/>
    <n v="4644"/>
    <n v="701244"/>
    <x v="2"/>
    <n v="560995.19999999995"/>
    <n v="385522.17"/>
    <n v="175473.03"/>
    <n v="31.28"/>
    <x v="0"/>
  </r>
  <r>
    <n v="1009"/>
    <s v="21-Jan-2024"/>
    <x v="8"/>
    <x v="1"/>
    <x v="1"/>
    <x v="3"/>
    <s v="Dresses"/>
    <n v="22"/>
    <n v="1418"/>
    <n v="31196"/>
    <x v="0"/>
    <n v="29636.2"/>
    <n v="20679.64"/>
    <n v="8956.56"/>
    <n v="30.22"/>
    <x v="5"/>
  </r>
  <r>
    <n v="1398"/>
    <s v="08-Apr-2024"/>
    <x v="7"/>
    <x v="3"/>
    <x v="3"/>
    <x v="4"/>
    <s v="Yoga Mat"/>
    <n v="148"/>
    <n v="803"/>
    <n v="118844"/>
    <x v="1"/>
    <n v="101017.4"/>
    <n v="60112.94"/>
    <n v="40904.46"/>
    <n v="40.49"/>
    <x v="4"/>
  </r>
  <r>
    <n v="1454"/>
    <s v="26-May-2024"/>
    <x v="6"/>
    <x v="3"/>
    <x v="2"/>
    <x v="1"/>
    <s v="Headphones"/>
    <n v="106"/>
    <n v="807"/>
    <n v="85542"/>
    <x v="3"/>
    <n v="85542"/>
    <n v="59276.39"/>
    <n v="26265.61"/>
    <n v="30.7"/>
    <x v="2"/>
  </r>
  <r>
    <n v="1243"/>
    <s v="08-Mar-2024"/>
    <x v="5"/>
    <x v="1"/>
    <x v="0"/>
    <x v="0"/>
    <s v="Dairy Products"/>
    <n v="101"/>
    <n v="124"/>
    <n v="12524"/>
    <x v="3"/>
    <n v="12524"/>
    <n v="8675.2999999999993"/>
    <n v="3848.7"/>
    <n v="30.73"/>
    <x v="2"/>
  </r>
  <r>
    <n v="1548"/>
    <s v="07-Jun-2024"/>
    <x v="11"/>
    <x v="3"/>
    <x v="0"/>
    <x v="4"/>
    <s v="Yoga Mat"/>
    <n v="77"/>
    <n v="874"/>
    <n v="67298"/>
    <x v="3"/>
    <n v="67298"/>
    <n v="44197.82"/>
    <n v="23100.18"/>
    <n v="34.33"/>
    <x v="1"/>
  </r>
  <r>
    <n v="1125"/>
    <s v="13-Feb-2024"/>
    <x v="1"/>
    <x v="1"/>
    <x v="1"/>
    <x v="4"/>
    <s v="Cycling Gear"/>
    <n v="52"/>
    <n v="3563"/>
    <n v="185276"/>
    <x v="0"/>
    <n v="176012.2"/>
    <n v="122693.98"/>
    <n v="53318.22"/>
    <n v="30.29"/>
    <x v="5"/>
  </r>
  <r>
    <n v="1702"/>
    <s v="23-Aug-2024"/>
    <x v="2"/>
    <x v="0"/>
    <x v="1"/>
    <x v="1"/>
    <s v="Smartphone"/>
    <n v="41"/>
    <n v="8177"/>
    <n v="335257"/>
    <x v="0"/>
    <n v="318494.15000000002"/>
    <n v="180940.31"/>
    <n v="137553.84"/>
    <n v="43.19"/>
    <x v="0"/>
  </r>
  <r>
    <n v="1832"/>
    <s v="26-Sep-2024"/>
    <x v="9"/>
    <x v="0"/>
    <x v="0"/>
    <x v="3"/>
    <s v="Jeans"/>
    <n v="67"/>
    <n v="1200"/>
    <n v="80400"/>
    <x v="0"/>
    <n v="76380"/>
    <n v="46810.55"/>
    <n v="29569.45"/>
    <n v="38.71"/>
    <x v="3"/>
  </r>
  <r>
    <n v="1902"/>
    <s v="27-Oct-2024"/>
    <x v="3"/>
    <x v="2"/>
    <x v="1"/>
    <x v="1"/>
    <s v="Smartphone"/>
    <n v="188"/>
    <n v="8737"/>
    <n v="1642556"/>
    <x v="3"/>
    <n v="1642556"/>
    <n v="928345.99"/>
    <n v="714210.01"/>
    <n v="43.48"/>
    <x v="5"/>
  </r>
  <r>
    <n v="1718"/>
    <s v="23-Aug-2024"/>
    <x v="2"/>
    <x v="0"/>
    <x v="1"/>
    <x v="0"/>
    <s v="Dairy Products"/>
    <n v="47"/>
    <n v="109"/>
    <n v="5123"/>
    <x v="0"/>
    <n v="4866.8500000000004"/>
    <n v="2825.69"/>
    <n v="2041.16"/>
    <n v="41.94"/>
    <x v="4"/>
  </r>
  <r>
    <n v="1655"/>
    <s v="23-Jul-2024"/>
    <x v="0"/>
    <x v="0"/>
    <x v="2"/>
    <x v="1"/>
    <s v="Smart TV"/>
    <n v="146"/>
    <n v="14963"/>
    <n v="2184598"/>
    <x v="3"/>
    <n v="2184598"/>
    <n v="1304231.46"/>
    <n v="880366.54"/>
    <n v="40.299999999999997"/>
    <x v="4"/>
  </r>
  <r>
    <n v="1317"/>
    <s v="08-Apr-2024"/>
    <x v="7"/>
    <x v="3"/>
    <x v="1"/>
    <x v="0"/>
    <s v="Beverages"/>
    <n v="142"/>
    <n v="76"/>
    <n v="10792"/>
    <x v="0"/>
    <n v="10252.4"/>
    <n v="5831.31"/>
    <n v="4421.09"/>
    <n v="43.12"/>
    <x v="6"/>
  </r>
  <r>
    <n v="1394"/>
    <s v="08-Apr-2024"/>
    <x v="7"/>
    <x v="3"/>
    <x v="3"/>
    <x v="0"/>
    <s v="Frozen Foods"/>
    <n v="33"/>
    <n v="136"/>
    <n v="4488"/>
    <x v="3"/>
    <n v="4488"/>
    <n v="2633.16"/>
    <n v="1854.84"/>
    <n v="41.33"/>
    <x v="4"/>
  </r>
  <r>
    <n v="1566"/>
    <s v="07-Jun-2024"/>
    <x v="11"/>
    <x v="3"/>
    <x v="2"/>
    <x v="0"/>
    <s v="Organic Snacks"/>
    <n v="146"/>
    <n v="196"/>
    <n v="28616"/>
    <x v="3"/>
    <n v="28616"/>
    <n v="17381.63"/>
    <n v="11234.37"/>
    <n v="39.26"/>
    <x v="0"/>
  </r>
  <r>
    <n v="1260"/>
    <s v="08-Mar-2024"/>
    <x v="5"/>
    <x v="1"/>
    <x v="2"/>
    <x v="3"/>
    <s v="Shoes"/>
    <n v="41"/>
    <n v="1697"/>
    <n v="69577"/>
    <x v="2"/>
    <n v="55661.599999999999"/>
    <n v="32216.98"/>
    <n v="23444.62"/>
    <n v="42.12"/>
    <x v="7"/>
  </r>
  <r>
    <n v="1246"/>
    <s v="08-Mar-2024"/>
    <x v="5"/>
    <x v="1"/>
    <x v="0"/>
    <x v="4"/>
    <s v="Cricket Bat"/>
    <n v="66"/>
    <n v="1153"/>
    <n v="76098"/>
    <x v="0"/>
    <n v="72293.100000000006"/>
    <n v="46174.54"/>
    <n v="26118.560000000001"/>
    <n v="36.130000000000003"/>
    <x v="3"/>
  </r>
  <r>
    <n v="1972"/>
    <s v="27-Oct-2024"/>
    <x v="3"/>
    <x v="2"/>
    <x v="2"/>
    <x v="4"/>
    <s v="Football"/>
    <n v="144"/>
    <n v="657"/>
    <n v="94608"/>
    <x v="3"/>
    <n v="94608"/>
    <n v="57408.3"/>
    <n v="37199.699999999997"/>
    <n v="39.32"/>
    <x v="0"/>
  </r>
  <r>
    <n v="1808"/>
    <s v="26-Sep-2024"/>
    <x v="9"/>
    <x v="0"/>
    <x v="1"/>
    <x v="3"/>
    <s v="Jackets"/>
    <n v="115"/>
    <n v="2070"/>
    <n v="238050"/>
    <x v="4"/>
    <n v="214245"/>
    <n v="125523.68"/>
    <n v="88721.32"/>
    <n v="41.41"/>
    <x v="4"/>
  </r>
  <r>
    <n v="1708"/>
    <s v="23-Aug-2024"/>
    <x v="2"/>
    <x v="0"/>
    <x v="1"/>
    <x v="3"/>
    <s v="Jackets"/>
    <n v="139"/>
    <n v="1851"/>
    <n v="257289"/>
    <x v="1"/>
    <n v="218695.65"/>
    <n v="141852.18"/>
    <n v="76843.47"/>
    <n v="35.14"/>
    <x v="3"/>
  </r>
  <r>
    <n v="2128"/>
    <s v="15-Dec-2024"/>
    <x v="4"/>
    <x v="2"/>
    <x v="0"/>
    <x v="1"/>
    <s v="Tablet"/>
    <n v="44"/>
    <n v="5357"/>
    <n v="235708"/>
    <x v="2"/>
    <n v="188566.39999999999"/>
    <n v="128098.79"/>
    <n v="60467.61"/>
    <n v="32.07"/>
    <x v="5"/>
  </r>
  <r>
    <n v="1819"/>
    <s v="26-Sep-2024"/>
    <x v="9"/>
    <x v="0"/>
    <x v="1"/>
    <x v="0"/>
    <s v="Frozen Foods"/>
    <n v="100"/>
    <n v="135"/>
    <n v="13500"/>
    <x v="0"/>
    <n v="12825"/>
    <n v="7531.34"/>
    <n v="5293.66"/>
    <n v="41.28"/>
    <x v="1"/>
  </r>
  <r>
    <n v="1679"/>
    <s v="23-Jul-2024"/>
    <x v="0"/>
    <x v="0"/>
    <x v="3"/>
    <x v="1"/>
    <s v="Headphones"/>
    <n v="76"/>
    <n v="828"/>
    <n v="62928"/>
    <x v="1"/>
    <n v="53488.800000000003"/>
    <n v="35344.379999999997"/>
    <n v="18144.419999999998"/>
    <n v="33.92"/>
    <x v="1"/>
  </r>
  <r>
    <n v="1758"/>
    <s v="23-Aug-2024"/>
    <x v="2"/>
    <x v="0"/>
    <x v="2"/>
    <x v="3"/>
    <s v="Jackets"/>
    <n v="48"/>
    <n v="1925"/>
    <n v="92400"/>
    <x v="0"/>
    <n v="87780"/>
    <n v="57656.53"/>
    <n v="30123.47"/>
    <n v="34.32"/>
    <x v="0"/>
  </r>
  <r>
    <n v="1862"/>
    <s v="26-Sep-2024"/>
    <x v="9"/>
    <x v="0"/>
    <x v="2"/>
    <x v="2"/>
    <s v="Dining Table"/>
    <n v="64"/>
    <n v="12638"/>
    <n v="808832"/>
    <x v="0"/>
    <n v="768390.4"/>
    <n v="491424.51"/>
    <n v="276965.89"/>
    <n v="36.04"/>
    <x v="4"/>
  </r>
  <r>
    <n v="1036"/>
    <s v="21-Jan-2024"/>
    <x v="8"/>
    <x v="1"/>
    <x v="0"/>
    <x v="2"/>
    <s v="Sofa"/>
    <n v="94"/>
    <n v="16885"/>
    <n v="1587190"/>
    <x v="3"/>
    <n v="1587190"/>
    <n v="1029844.12"/>
    <n v="557345.88"/>
    <n v="35.119999999999997"/>
    <x v="3"/>
  </r>
  <r>
    <n v="2158"/>
    <s v="15-Dec-2024"/>
    <x v="4"/>
    <x v="2"/>
    <x v="2"/>
    <x v="3"/>
    <s v="Jackets"/>
    <n v="177"/>
    <n v="1914"/>
    <n v="338778"/>
    <x v="3"/>
    <n v="338778"/>
    <n v="228979.97"/>
    <n v="109798.03"/>
    <n v="32.409999999999997"/>
    <x v="7"/>
  </r>
  <r>
    <n v="2093"/>
    <s v="03-Nov-2024"/>
    <x v="10"/>
    <x v="2"/>
    <x v="3"/>
    <x v="0"/>
    <s v="Dairy Products"/>
    <n v="142"/>
    <n v="117"/>
    <n v="16614"/>
    <x v="3"/>
    <n v="16614"/>
    <n v="11343.74"/>
    <n v="5270.26"/>
    <n v="31.72"/>
    <x v="2"/>
  </r>
  <r>
    <n v="1316"/>
    <s v="08-Apr-2024"/>
    <x v="7"/>
    <x v="3"/>
    <x v="1"/>
    <x v="0"/>
    <s v="Organic Snacks"/>
    <n v="65"/>
    <n v="186"/>
    <n v="12090"/>
    <x v="0"/>
    <n v="11485.5"/>
    <n v="6913.16"/>
    <n v="4572.34"/>
    <n v="39.81"/>
    <x v="6"/>
  </r>
  <r>
    <n v="1842"/>
    <s v="26-Sep-2024"/>
    <x v="9"/>
    <x v="0"/>
    <x v="0"/>
    <x v="0"/>
    <s v="Beverages"/>
    <n v="65"/>
    <n v="83"/>
    <n v="5395"/>
    <x v="2"/>
    <n v="4316"/>
    <n v="2875.37"/>
    <n v="1440.63"/>
    <n v="33.380000000000003"/>
    <x v="2"/>
  </r>
  <r>
    <n v="1377"/>
    <s v="08-Apr-2024"/>
    <x v="7"/>
    <x v="3"/>
    <x v="3"/>
    <x v="1"/>
    <s v="Smartphone"/>
    <n v="74"/>
    <n v="8079"/>
    <n v="597846"/>
    <x v="2"/>
    <n v="478276.8"/>
    <n v="317385.71999999997"/>
    <n v="160891.07999999999"/>
    <n v="33.64"/>
    <x v="5"/>
  </r>
  <r>
    <n v="1733"/>
    <s v="23-Aug-2024"/>
    <x v="2"/>
    <x v="0"/>
    <x v="0"/>
    <x v="3"/>
    <s v="Jackets"/>
    <n v="36"/>
    <n v="1938"/>
    <n v="69768"/>
    <x v="0"/>
    <n v="66279.600000000006"/>
    <n v="45446.23"/>
    <n v="20833.37"/>
    <n v="31.43"/>
    <x v="5"/>
  </r>
  <r>
    <n v="1909"/>
    <s v="27-Oct-2024"/>
    <x v="3"/>
    <x v="2"/>
    <x v="1"/>
    <x v="3"/>
    <s v="Dresses"/>
    <n v="90"/>
    <n v="1515"/>
    <n v="136350"/>
    <x v="0"/>
    <n v="129532.5"/>
    <n v="78237.8"/>
    <n v="51294.7"/>
    <n v="39.6"/>
    <x v="2"/>
  </r>
  <r>
    <n v="1372"/>
    <s v="08-Apr-2024"/>
    <x v="7"/>
    <x v="3"/>
    <x v="2"/>
    <x v="4"/>
    <s v="Football"/>
    <n v="56"/>
    <n v="568"/>
    <n v="31808"/>
    <x v="0"/>
    <n v="30217.599999999999"/>
    <n v="20943.98"/>
    <n v="9273.6200000000008"/>
    <n v="30.69"/>
    <x v="6"/>
  </r>
  <r>
    <n v="1149"/>
    <s v="13-Feb-2024"/>
    <x v="1"/>
    <x v="1"/>
    <x v="0"/>
    <x v="4"/>
    <s v="Dumbbells"/>
    <n v="42"/>
    <n v="1846"/>
    <n v="77532"/>
    <x v="1"/>
    <n v="65902.2"/>
    <n v="44796.14"/>
    <n v="21106.06"/>
    <n v="32.03"/>
    <x v="4"/>
  </r>
  <r>
    <n v="1804"/>
    <s v="26-Sep-2024"/>
    <x v="9"/>
    <x v="0"/>
    <x v="1"/>
    <x v="1"/>
    <s v="Headphones"/>
    <n v="36"/>
    <n v="762"/>
    <n v="27432"/>
    <x v="4"/>
    <n v="24688.799999999999"/>
    <n v="13875.25"/>
    <n v="10813.55"/>
    <n v="43.8"/>
    <x v="4"/>
  </r>
  <r>
    <n v="1901"/>
    <s v="27-Oct-2024"/>
    <x v="3"/>
    <x v="2"/>
    <x v="1"/>
    <x v="1"/>
    <s v="Laptop"/>
    <n v="132"/>
    <n v="12070"/>
    <n v="1593240"/>
    <x v="3"/>
    <n v="1593240"/>
    <n v="1075705.42"/>
    <n v="517534.58"/>
    <n v="32.479999999999997"/>
    <x v="1"/>
  </r>
  <r>
    <n v="1997"/>
    <s v="27-Oct-2024"/>
    <x v="3"/>
    <x v="2"/>
    <x v="3"/>
    <x v="4"/>
    <s v="Football"/>
    <n v="166"/>
    <n v="636"/>
    <n v="105576"/>
    <x v="3"/>
    <n v="105576"/>
    <n v="65691.960000000006"/>
    <n v="39884.04"/>
    <n v="37.78"/>
    <x v="2"/>
  </r>
  <r>
    <n v="1253"/>
    <s v="08-Mar-2024"/>
    <x v="5"/>
    <x v="1"/>
    <x v="2"/>
    <x v="1"/>
    <s v="Tablet"/>
    <n v="83"/>
    <n v="5110"/>
    <n v="424130"/>
    <x v="4"/>
    <n v="381717"/>
    <n v="231292.94"/>
    <n v="150424.06"/>
    <n v="39.409999999999997"/>
    <x v="6"/>
  </r>
  <r>
    <n v="1700"/>
    <s v="23-Jul-2024"/>
    <x v="0"/>
    <x v="0"/>
    <x v="3"/>
    <x v="4"/>
    <s v="Cycling Gear"/>
    <n v="23"/>
    <n v="3399"/>
    <n v="78177"/>
    <x v="0"/>
    <n v="74268.149999999994"/>
    <n v="46948.88"/>
    <n v="27319.27"/>
    <n v="36.78"/>
    <x v="3"/>
  </r>
  <r>
    <n v="1487"/>
    <s v="26-May-2024"/>
    <x v="6"/>
    <x v="3"/>
    <x v="3"/>
    <x v="2"/>
    <s v="Dining Table"/>
    <n v="124"/>
    <n v="11859"/>
    <n v="1470516"/>
    <x v="0"/>
    <n v="1396990.2"/>
    <n v="975750.66"/>
    <n v="421239.54"/>
    <n v="30.15"/>
    <x v="1"/>
  </r>
  <r>
    <n v="1930"/>
    <s v="27-Oct-2024"/>
    <x v="3"/>
    <x v="2"/>
    <x v="0"/>
    <x v="1"/>
    <s v="Smart TV"/>
    <n v="115"/>
    <n v="14821"/>
    <n v="1704415"/>
    <x v="0"/>
    <n v="1619194.25"/>
    <n v="939056.21"/>
    <n v="680138.04"/>
    <n v="42"/>
    <x v="3"/>
  </r>
  <r>
    <n v="1559"/>
    <s v="07-Jun-2024"/>
    <x v="11"/>
    <x v="3"/>
    <x v="2"/>
    <x v="3"/>
    <s v="Dresses"/>
    <n v="124"/>
    <n v="1428"/>
    <n v="177072"/>
    <x v="3"/>
    <n v="177072"/>
    <n v="98215.17"/>
    <n v="78856.83"/>
    <n v="44.53"/>
    <x v="0"/>
  </r>
  <r>
    <n v="1325"/>
    <s v="08-Apr-2024"/>
    <x v="7"/>
    <x v="3"/>
    <x v="1"/>
    <x v="4"/>
    <s v="Cycling Gear"/>
    <n v="70"/>
    <n v="3251"/>
    <n v="227570"/>
    <x v="4"/>
    <n v="204813"/>
    <n v="135203.20000000001"/>
    <n v="69609.8"/>
    <n v="33.99"/>
    <x v="3"/>
  </r>
  <r>
    <n v="2119"/>
    <s v="15-Dec-2024"/>
    <x v="4"/>
    <x v="2"/>
    <x v="1"/>
    <x v="0"/>
    <s v="Frozen Foods"/>
    <n v="48"/>
    <n v="142"/>
    <n v="6816"/>
    <x v="2"/>
    <n v="5452.8"/>
    <n v="3483.83"/>
    <n v="1968.97"/>
    <n v="36.11"/>
    <x v="3"/>
  </r>
  <r>
    <n v="1717"/>
    <s v="23-Aug-2024"/>
    <x v="2"/>
    <x v="0"/>
    <x v="1"/>
    <x v="0"/>
    <s v="Beverages"/>
    <n v="129"/>
    <n v="75"/>
    <n v="9675"/>
    <x v="3"/>
    <n v="9675"/>
    <n v="6748.6"/>
    <n v="2926.4"/>
    <n v="30.25"/>
    <x v="6"/>
  </r>
  <r>
    <n v="1384"/>
    <s v="08-Apr-2024"/>
    <x v="7"/>
    <x v="3"/>
    <x v="3"/>
    <x v="3"/>
    <s v="Dresses"/>
    <n v="53"/>
    <n v="1351"/>
    <n v="71603"/>
    <x v="0"/>
    <n v="68022.850000000006"/>
    <n v="43313.32"/>
    <n v="24709.53"/>
    <n v="36.33"/>
    <x v="4"/>
  </r>
  <r>
    <n v="2028"/>
    <s v="03-Nov-2024"/>
    <x v="10"/>
    <x v="2"/>
    <x v="0"/>
    <x v="1"/>
    <s v="Tablet"/>
    <n v="133"/>
    <n v="5048"/>
    <n v="671384"/>
    <x v="2"/>
    <n v="537107.19999999995"/>
    <n v="326331.55"/>
    <n v="210775.65"/>
    <n v="39.24"/>
    <x v="3"/>
  </r>
  <r>
    <n v="1503"/>
    <s v="07-Jun-2024"/>
    <x v="11"/>
    <x v="3"/>
    <x v="1"/>
    <x v="1"/>
    <s v="Tablet"/>
    <n v="31"/>
    <n v="5126"/>
    <n v="158906"/>
    <x v="2"/>
    <n v="127124.8"/>
    <n v="70229.100000000006"/>
    <n v="56895.7"/>
    <n v="44.76"/>
    <x v="7"/>
  </r>
  <r>
    <n v="2133"/>
    <s v="15-Dec-2024"/>
    <x v="4"/>
    <x v="2"/>
    <x v="0"/>
    <x v="3"/>
    <s v="Jackets"/>
    <n v="107"/>
    <n v="1958"/>
    <n v="209506"/>
    <x v="3"/>
    <n v="209506"/>
    <n v="129446.68"/>
    <n v="80059.320000000007"/>
    <n v="38.21"/>
    <x v="5"/>
  </r>
  <r>
    <n v="1604"/>
    <s v="23-Jul-2024"/>
    <x v="0"/>
    <x v="0"/>
    <x v="1"/>
    <x v="1"/>
    <s v="Headphones"/>
    <n v="59"/>
    <n v="822"/>
    <n v="48498"/>
    <x v="3"/>
    <n v="48498"/>
    <n v="30118.98"/>
    <n v="18379.02"/>
    <n v="37.9"/>
    <x v="1"/>
  </r>
  <r>
    <n v="1884"/>
    <s v="26-Sep-2024"/>
    <x v="9"/>
    <x v="0"/>
    <x v="3"/>
    <x v="3"/>
    <s v="Dresses"/>
    <n v="33"/>
    <n v="1536"/>
    <n v="50688"/>
    <x v="3"/>
    <n v="50688"/>
    <n v="28332.880000000001"/>
    <n v="22355.119999999999"/>
    <n v="44.1"/>
    <x v="7"/>
  </r>
  <r>
    <n v="1261"/>
    <s v="08-Mar-2024"/>
    <x v="5"/>
    <x v="1"/>
    <x v="2"/>
    <x v="2"/>
    <s v="Sofa"/>
    <n v="37"/>
    <n v="17265"/>
    <n v="638805"/>
    <x v="3"/>
    <n v="638805"/>
    <n v="399989.96"/>
    <n v="238815.04"/>
    <n v="37.380000000000003"/>
    <x v="4"/>
  </r>
  <r>
    <n v="1419"/>
    <s v="26-May-2024"/>
    <x v="6"/>
    <x v="3"/>
    <x v="1"/>
    <x v="0"/>
    <s v="Frozen Foods"/>
    <n v="137"/>
    <n v="147"/>
    <n v="20139"/>
    <x v="0"/>
    <n v="19132.05"/>
    <n v="10717.68"/>
    <n v="8414.3700000000008"/>
    <n v="43.98"/>
    <x v="7"/>
  </r>
  <r>
    <n v="1451"/>
    <s v="26-May-2024"/>
    <x v="6"/>
    <x v="3"/>
    <x v="2"/>
    <x v="1"/>
    <s v="Laptop"/>
    <n v="90"/>
    <n v="11226"/>
    <n v="1010340"/>
    <x v="1"/>
    <n v="858789"/>
    <n v="597123.53"/>
    <n v="261665.47"/>
    <n v="30.47"/>
    <x v="6"/>
  </r>
  <r>
    <n v="1282"/>
    <s v="08-Mar-2024"/>
    <x v="5"/>
    <x v="1"/>
    <x v="3"/>
    <x v="3"/>
    <s v="Jeans"/>
    <n v="79"/>
    <n v="1167"/>
    <n v="92193"/>
    <x v="3"/>
    <n v="92193"/>
    <n v="56105.72"/>
    <n v="36087.279999999999"/>
    <n v="39.14"/>
    <x v="2"/>
  </r>
  <r>
    <n v="1220"/>
    <s v="08-Mar-2024"/>
    <x v="5"/>
    <x v="1"/>
    <x v="1"/>
    <x v="0"/>
    <s v="Condiments"/>
    <n v="144"/>
    <n v="92"/>
    <n v="13248"/>
    <x v="4"/>
    <n v="11923.2"/>
    <n v="6743.05"/>
    <n v="5180.1499999999996"/>
    <n v="43.45"/>
    <x v="5"/>
  </r>
  <r>
    <n v="1180"/>
    <s v="13-Feb-2024"/>
    <x v="1"/>
    <x v="1"/>
    <x v="3"/>
    <x v="1"/>
    <s v="Smart TV"/>
    <n v="117"/>
    <n v="15736"/>
    <n v="1841112"/>
    <x v="0"/>
    <n v="1749056.4"/>
    <n v="1165503.23"/>
    <n v="583553.17000000004"/>
    <n v="33.36"/>
    <x v="5"/>
  </r>
  <r>
    <n v="1110"/>
    <s v="13-Feb-2024"/>
    <x v="1"/>
    <x v="1"/>
    <x v="1"/>
    <x v="3"/>
    <s v="Shoes"/>
    <n v="31"/>
    <n v="1898"/>
    <n v="58838"/>
    <x v="3"/>
    <n v="58838"/>
    <n v="39388.160000000003"/>
    <n v="19449.84"/>
    <n v="33.06"/>
    <x v="4"/>
  </r>
  <r>
    <n v="1148"/>
    <s v="13-Feb-2024"/>
    <x v="1"/>
    <x v="1"/>
    <x v="0"/>
    <x v="4"/>
    <s v="Yoga Mat"/>
    <n v="46"/>
    <n v="871"/>
    <n v="40066"/>
    <x v="3"/>
    <n v="40066"/>
    <n v="24769.759999999998"/>
    <n v="15296.24"/>
    <n v="38.18"/>
    <x v="3"/>
  </r>
  <r>
    <n v="1224"/>
    <s v="08-Mar-2024"/>
    <x v="5"/>
    <x v="1"/>
    <x v="1"/>
    <x v="4"/>
    <s v="Dumbbells"/>
    <n v="110"/>
    <n v="1924"/>
    <n v="211640"/>
    <x v="4"/>
    <n v="190476"/>
    <n v="114791.03"/>
    <n v="75684.97"/>
    <n v="39.729999999999997"/>
    <x v="7"/>
  </r>
  <r>
    <n v="1434"/>
    <s v="26-May-2024"/>
    <x v="6"/>
    <x v="3"/>
    <x v="0"/>
    <x v="3"/>
    <s v="Dresses"/>
    <n v="69"/>
    <n v="1572"/>
    <n v="108468"/>
    <x v="3"/>
    <n v="108468"/>
    <n v="67805.399999999994"/>
    <n v="40662.6"/>
    <n v="37.49"/>
    <x v="3"/>
  </r>
  <r>
    <n v="2098"/>
    <s v="03-Nov-2024"/>
    <x v="10"/>
    <x v="2"/>
    <x v="3"/>
    <x v="4"/>
    <s v="Yoga Mat"/>
    <n v="162"/>
    <n v="757"/>
    <n v="122634"/>
    <x v="3"/>
    <n v="122634"/>
    <n v="68127.070000000007"/>
    <n v="54506.93"/>
    <n v="44.45"/>
    <x v="7"/>
  </r>
  <r>
    <n v="1762"/>
    <s v="23-Aug-2024"/>
    <x v="2"/>
    <x v="0"/>
    <x v="2"/>
    <x v="2"/>
    <s v="Dining Table"/>
    <n v="156"/>
    <n v="11271"/>
    <n v="1758276"/>
    <x v="3"/>
    <n v="1758276"/>
    <n v="1158903.98"/>
    <n v="599372.02"/>
    <n v="34.090000000000003"/>
    <x v="4"/>
  </r>
  <r>
    <n v="1767"/>
    <s v="23-Aug-2024"/>
    <x v="2"/>
    <x v="0"/>
    <x v="2"/>
    <x v="0"/>
    <s v="Beverages"/>
    <n v="136"/>
    <n v="74"/>
    <n v="10064"/>
    <x v="3"/>
    <n v="10064"/>
    <n v="5805.64"/>
    <n v="4258.3599999999997"/>
    <n v="42.31"/>
    <x v="7"/>
  </r>
  <r>
    <n v="1826"/>
    <s v="26-Sep-2024"/>
    <x v="9"/>
    <x v="0"/>
    <x v="0"/>
    <x v="1"/>
    <s v="Laptop"/>
    <n v="83"/>
    <n v="13163"/>
    <n v="1092529"/>
    <x v="0"/>
    <n v="1037902.55"/>
    <n v="632790.42000000004"/>
    <n v="405112.13"/>
    <n v="39.03"/>
    <x v="7"/>
  </r>
  <r>
    <n v="1400"/>
    <s v="08-Apr-2024"/>
    <x v="7"/>
    <x v="3"/>
    <x v="3"/>
    <x v="4"/>
    <s v="Cycling Gear"/>
    <n v="92"/>
    <n v="3183"/>
    <n v="292836"/>
    <x v="4"/>
    <n v="263552.40000000002"/>
    <n v="182177.42"/>
    <n v="81374.98"/>
    <n v="30.88"/>
    <x v="0"/>
  </r>
  <r>
    <n v="1755"/>
    <s v="23-Aug-2024"/>
    <x v="2"/>
    <x v="0"/>
    <x v="2"/>
    <x v="1"/>
    <s v="Smart TV"/>
    <n v="165"/>
    <n v="14571"/>
    <n v="2404215"/>
    <x v="0"/>
    <n v="2284004.25"/>
    <n v="1290477.8400000001"/>
    <n v="993526.41"/>
    <n v="43.5"/>
    <x v="1"/>
  </r>
  <r>
    <n v="1599"/>
    <s v="07-Jun-2024"/>
    <x v="11"/>
    <x v="3"/>
    <x v="3"/>
    <x v="4"/>
    <s v="Dumbbells"/>
    <n v="122"/>
    <n v="1973"/>
    <n v="240706"/>
    <x v="3"/>
    <n v="240706"/>
    <n v="154316.04999999999"/>
    <n v="86389.95"/>
    <n v="35.89"/>
    <x v="0"/>
  </r>
  <r>
    <n v="1853"/>
    <s v="26-Sep-2024"/>
    <x v="9"/>
    <x v="0"/>
    <x v="2"/>
    <x v="1"/>
    <s v="Tablet"/>
    <n v="127"/>
    <n v="4943"/>
    <n v="627761"/>
    <x v="3"/>
    <n v="627761"/>
    <n v="357630.15"/>
    <n v="270130.84999999998"/>
    <n v="43.03"/>
    <x v="7"/>
  </r>
  <r>
    <n v="1338"/>
    <s v="08-Apr-2024"/>
    <x v="7"/>
    <x v="3"/>
    <x v="0"/>
    <x v="2"/>
    <s v="Wardrobe"/>
    <n v="112"/>
    <n v="13157"/>
    <n v="1473584"/>
    <x v="1"/>
    <n v="1252546.3999999999"/>
    <n v="782856.14"/>
    <n v="469690.26"/>
    <n v="37.5"/>
    <x v="4"/>
  </r>
  <r>
    <n v="2144"/>
    <s v="15-Dec-2024"/>
    <x v="4"/>
    <x v="2"/>
    <x v="0"/>
    <x v="0"/>
    <s v="Frozen Foods"/>
    <n v="54"/>
    <n v="145"/>
    <n v="7830"/>
    <x v="3"/>
    <n v="7830"/>
    <n v="5068.8"/>
    <n v="2761.2"/>
    <n v="35.26"/>
    <x v="5"/>
  </r>
  <r>
    <n v="1827"/>
    <s v="26-Sep-2024"/>
    <x v="9"/>
    <x v="0"/>
    <x v="0"/>
    <x v="1"/>
    <s v="Smartphone"/>
    <n v="26"/>
    <n v="8479"/>
    <n v="220454"/>
    <x v="2"/>
    <n v="176363.2"/>
    <n v="121857.83"/>
    <n v="54505.37"/>
    <n v="30.91"/>
    <x v="4"/>
  </r>
  <r>
    <n v="1792"/>
    <s v="23-Aug-2024"/>
    <x v="2"/>
    <x v="0"/>
    <x v="3"/>
    <x v="0"/>
    <s v="Beverages"/>
    <n v="82"/>
    <n v="76"/>
    <n v="6232"/>
    <x v="0"/>
    <n v="5920.4"/>
    <n v="4064.43"/>
    <n v="1855.97"/>
    <n v="31.35"/>
    <x v="1"/>
  </r>
  <r>
    <n v="2134"/>
    <s v="15-Dec-2024"/>
    <x v="4"/>
    <x v="2"/>
    <x v="0"/>
    <x v="3"/>
    <s v="Dresses"/>
    <n v="43"/>
    <n v="1576"/>
    <n v="67768"/>
    <x v="1"/>
    <n v="57602.8"/>
    <n v="39889.370000000003"/>
    <n v="17713.43"/>
    <n v="30.75"/>
    <x v="7"/>
  </r>
  <r>
    <n v="2035"/>
    <s v="03-Nov-2024"/>
    <x v="10"/>
    <x v="2"/>
    <x v="0"/>
    <x v="3"/>
    <s v="Shoes"/>
    <n v="104"/>
    <n v="1725"/>
    <n v="179400"/>
    <x v="2"/>
    <n v="143520"/>
    <n v="83148.31"/>
    <n v="60371.69"/>
    <n v="42.07"/>
    <x v="3"/>
  </r>
  <r>
    <n v="2169"/>
    <s v="15-Dec-2024"/>
    <x v="4"/>
    <x v="2"/>
    <x v="2"/>
    <x v="0"/>
    <s v="Frozen Foods"/>
    <n v="141"/>
    <n v="148"/>
    <n v="20868"/>
    <x v="3"/>
    <n v="20868"/>
    <n v="14531.97"/>
    <n v="6336.03"/>
    <n v="30.36"/>
    <x v="0"/>
  </r>
  <r>
    <n v="1969"/>
    <s v="27-Oct-2024"/>
    <x v="3"/>
    <x v="2"/>
    <x v="2"/>
    <x v="0"/>
    <s v="Frozen Foods"/>
    <n v="99"/>
    <n v="140"/>
    <n v="13860"/>
    <x v="0"/>
    <n v="13167"/>
    <n v="8984.93"/>
    <n v="4182.07"/>
    <n v="31.76"/>
    <x v="1"/>
  </r>
  <r>
    <n v="1906"/>
    <s v="27-Oct-2024"/>
    <x v="3"/>
    <x v="2"/>
    <x v="1"/>
    <x v="3"/>
    <s v="T-Shirts"/>
    <n v="162"/>
    <n v="505"/>
    <n v="81810"/>
    <x v="4"/>
    <n v="73629"/>
    <n v="47757.96"/>
    <n v="25871.040000000001"/>
    <n v="35.14"/>
    <x v="2"/>
  </r>
  <r>
    <n v="1509"/>
    <s v="07-Jun-2024"/>
    <x v="11"/>
    <x v="3"/>
    <x v="1"/>
    <x v="3"/>
    <s v="Dresses"/>
    <n v="25"/>
    <n v="1559"/>
    <n v="38975"/>
    <x v="3"/>
    <n v="38975"/>
    <n v="27213.25"/>
    <n v="11761.75"/>
    <n v="30.18"/>
    <x v="0"/>
  </r>
  <r>
    <n v="1258"/>
    <s v="08-Mar-2024"/>
    <x v="5"/>
    <x v="1"/>
    <x v="2"/>
    <x v="3"/>
    <s v="Jackets"/>
    <n v="56"/>
    <n v="1951"/>
    <n v="109256"/>
    <x v="4"/>
    <n v="98330.4"/>
    <n v="66075.839999999997"/>
    <n v="32254.560000000001"/>
    <n v="32.799999999999997"/>
    <x v="1"/>
  </r>
  <r>
    <n v="1538"/>
    <s v="07-Jun-2024"/>
    <x v="11"/>
    <x v="3"/>
    <x v="0"/>
    <x v="2"/>
    <s v="Wardrobe"/>
    <n v="54"/>
    <n v="13921"/>
    <n v="751734"/>
    <x v="1"/>
    <n v="638973.9"/>
    <n v="439635.76"/>
    <n v="199338.14"/>
    <n v="31.2"/>
    <x v="7"/>
  </r>
  <r>
    <n v="1794"/>
    <s v="23-Aug-2024"/>
    <x v="2"/>
    <x v="0"/>
    <x v="3"/>
    <x v="0"/>
    <s v="Frozen Foods"/>
    <n v="123"/>
    <n v="159"/>
    <n v="19557"/>
    <x v="3"/>
    <n v="19557"/>
    <n v="12281.1"/>
    <n v="7275.9"/>
    <n v="37.200000000000003"/>
    <x v="0"/>
  </r>
  <r>
    <n v="1595"/>
    <s v="07-Jun-2024"/>
    <x v="11"/>
    <x v="3"/>
    <x v="3"/>
    <x v="0"/>
    <s v="Condiments"/>
    <n v="72"/>
    <n v="88"/>
    <n v="6336"/>
    <x v="2"/>
    <n v="5068.8"/>
    <n v="3387.53"/>
    <n v="1681.27"/>
    <n v="33.17"/>
    <x v="5"/>
  </r>
  <r>
    <n v="2054"/>
    <s v="03-Nov-2024"/>
    <x v="10"/>
    <x v="2"/>
    <x v="2"/>
    <x v="1"/>
    <s v="Headphones"/>
    <n v="139"/>
    <n v="773"/>
    <n v="107447"/>
    <x v="4"/>
    <n v="96702.3"/>
    <n v="67119.83"/>
    <n v="29582.47"/>
    <n v="30.59"/>
    <x v="6"/>
  </r>
  <r>
    <n v="1681"/>
    <s v="23-Jul-2024"/>
    <x v="0"/>
    <x v="0"/>
    <x v="3"/>
    <x v="3"/>
    <s v="T-Shirts"/>
    <n v="72"/>
    <n v="539"/>
    <n v="38808"/>
    <x v="0"/>
    <n v="36867.599999999999"/>
    <n v="25135.27"/>
    <n v="11732.33"/>
    <n v="31.82"/>
    <x v="1"/>
  </r>
  <r>
    <n v="1535"/>
    <s v="07-Jun-2024"/>
    <x v="11"/>
    <x v="3"/>
    <x v="0"/>
    <x v="3"/>
    <s v="Shoes"/>
    <n v="88"/>
    <n v="1804"/>
    <n v="158752"/>
    <x v="3"/>
    <n v="158752"/>
    <n v="99210.71"/>
    <n v="59541.29"/>
    <n v="37.51"/>
    <x v="7"/>
  </r>
  <r>
    <n v="1124"/>
    <s v="13-Feb-2024"/>
    <x v="1"/>
    <x v="1"/>
    <x v="1"/>
    <x v="4"/>
    <s v="Dumbbells"/>
    <n v="106"/>
    <n v="1926"/>
    <n v="204156"/>
    <x v="3"/>
    <n v="204156"/>
    <n v="118151.44"/>
    <n v="86004.56"/>
    <n v="42.13"/>
    <x v="2"/>
  </r>
  <r>
    <n v="1956"/>
    <s v="27-Oct-2024"/>
    <x v="3"/>
    <x v="2"/>
    <x v="2"/>
    <x v="3"/>
    <s v="T-Shirts"/>
    <n v="84"/>
    <n v="519"/>
    <n v="43596"/>
    <x v="2"/>
    <n v="34876.800000000003"/>
    <n v="19883.72"/>
    <n v="14993.08"/>
    <n v="42.99"/>
    <x v="2"/>
  </r>
  <r>
    <n v="1513"/>
    <s v="07-Jun-2024"/>
    <x v="11"/>
    <x v="3"/>
    <x v="1"/>
    <x v="2"/>
    <s v="Wardrobe"/>
    <n v="120"/>
    <n v="13060"/>
    <n v="1567200"/>
    <x v="4"/>
    <n v="1410480"/>
    <n v="928610.39"/>
    <n v="481869.61"/>
    <n v="34.159999999999997"/>
    <x v="7"/>
  </r>
  <r>
    <n v="1585"/>
    <s v="07-Jun-2024"/>
    <x v="11"/>
    <x v="3"/>
    <x v="3"/>
    <x v="3"/>
    <s v="Shoes"/>
    <n v="65"/>
    <n v="1669"/>
    <n v="108485"/>
    <x v="3"/>
    <n v="108485"/>
    <n v="71584.13"/>
    <n v="36900.870000000003"/>
    <n v="34.01"/>
    <x v="0"/>
  </r>
  <r>
    <n v="2142"/>
    <s v="15-Dec-2024"/>
    <x v="4"/>
    <x v="2"/>
    <x v="0"/>
    <x v="0"/>
    <s v="Beverages"/>
    <n v="192"/>
    <n v="74"/>
    <n v="14208"/>
    <x v="4"/>
    <n v="12787.2"/>
    <n v="7925.54"/>
    <n v="4861.66"/>
    <n v="38.020000000000003"/>
    <x v="4"/>
  </r>
  <r>
    <n v="1242"/>
    <s v="08-Mar-2024"/>
    <x v="5"/>
    <x v="1"/>
    <x v="0"/>
    <x v="0"/>
    <s v="Beverages"/>
    <n v="43"/>
    <n v="74"/>
    <n v="3182"/>
    <x v="0"/>
    <n v="3022.9"/>
    <n v="1741.27"/>
    <n v="1281.6300000000001"/>
    <n v="42.4"/>
    <x v="7"/>
  </r>
  <r>
    <n v="1144"/>
    <s v="13-Feb-2024"/>
    <x v="1"/>
    <x v="1"/>
    <x v="0"/>
    <x v="0"/>
    <s v="Frozen Foods"/>
    <n v="121"/>
    <n v="155"/>
    <n v="18755"/>
    <x v="0"/>
    <n v="17817.25"/>
    <n v="11339.56"/>
    <n v="6477.69"/>
    <n v="36.36"/>
    <x v="7"/>
  </r>
  <r>
    <n v="2101"/>
    <s v="15-Dec-2024"/>
    <x v="4"/>
    <x v="2"/>
    <x v="1"/>
    <x v="1"/>
    <s v="Laptop"/>
    <n v="164"/>
    <n v="12805"/>
    <n v="2100020"/>
    <x v="3"/>
    <n v="2100020"/>
    <n v="1412620.51"/>
    <n v="687399.49"/>
    <n v="32.729999999999997"/>
    <x v="1"/>
  </r>
  <r>
    <n v="1742"/>
    <s v="23-Aug-2024"/>
    <x v="2"/>
    <x v="0"/>
    <x v="0"/>
    <x v="0"/>
    <s v="Beverages"/>
    <n v="144"/>
    <n v="79"/>
    <n v="11376"/>
    <x v="2"/>
    <n v="9100.7999999999993"/>
    <n v="5865.76"/>
    <n v="3235.04"/>
    <n v="35.549999999999997"/>
    <x v="0"/>
  </r>
  <r>
    <n v="1860"/>
    <s v="26-Sep-2024"/>
    <x v="9"/>
    <x v="0"/>
    <x v="2"/>
    <x v="3"/>
    <s v="Shoes"/>
    <n v="97"/>
    <n v="1893"/>
    <n v="183621"/>
    <x v="3"/>
    <n v="183621"/>
    <n v="110463.22"/>
    <n v="73157.78"/>
    <n v="39.840000000000003"/>
    <x v="2"/>
  </r>
  <r>
    <n v="1966"/>
    <s v="27-Oct-2024"/>
    <x v="3"/>
    <x v="2"/>
    <x v="2"/>
    <x v="0"/>
    <s v="Organic Snacks"/>
    <n v="100"/>
    <n v="197"/>
    <n v="19700"/>
    <x v="3"/>
    <n v="19700"/>
    <n v="12873.81"/>
    <n v="6826.19"/>
    <n v="34.65"/>
    <x v="7"/>
  </r>
  <r>
    <n v="1407"/>
    <s v="26-May-2024"/>
    <x v="6"/>
    <x v="3"/>
    <x v="1"/>
    <x v="3"/>
    <s v="Jeans"/>
    <n v="154"/>
    <n v="1125"/>
    <n v="173250"/>
    <x v="0"/>
    <n v="164587.5"/>
    <n v="102358.47"/>
    <n v="62229.03"/>
    <n v="37.81"/>
    <x v="3"/>
  </r>
  <r>
    <n v="2132"/>
    <s v="15-Dec-2024"/>
    <x v="4"/>
    <x v="2"/>
    <x v="0"/>
    <x v="3"/>
    <s v="Jeans"/>
    <n v="105"/>
    <n v="1091"/>
    <n v="114555"/>
    <x v="2"/>
    <n v="91644"/>
    <n v="60487.01"/>
    <n v="31156.99"/>
    <n v="34"/>
    <x v="4"/>
  </r>
  <r>
    <n v="2164"/>
    <s v="15-Dec-2024"/>
    <x v="4"/>
    <x v="2"/>
    <x v="2"/>
    <x v="2"/>
    <s v="Bed Frame"/>
    <n v="128"/>
    <n v="9580"/>
    <n v="1226240"/>
    <x v="3"/>
    <n v="1226240"/>
    <n v="821502.84"/>
    <n v="404737.16"/>
    <n v="33.01"/>
    <x v="2"/>
  </r>
  <r>
    <n v="1674"/>
    <s v="23-Jul-2024"/>
    <x v="0"/>
    <x v="0"/>
    <x v="2"/>
    <x v="4"/>
    <s v="Dumbbells"/>
    <n v="167"/>
    <n v="2075"/>
    <n v="346525"/>
    <x v="2"/>
    <n v="277220"/>
    <n v="166218.49"/>
    <n v="111001.51"/>
    <n v="40.04"/>
    <x v="4"/>
  </r>
  <r>
    <n v="1688"/>
    <s v="23-Jul-2024"/>
    <x v="0"/>
    <x v="0"/>
    <x v="3"/>
    <x v="2"/>
    <s v="Wardrobe"/>
    <n v="62"/>
    <n v="13480"/>
    <n v="835760"/>
    <x v="0"/>
    <n v="793972"/>
    <n v="553147.85"/>
    <n v="240824.15"/>
    <n v="30.33"/>
    <x v="3"/>
  </r>
  <r>
    <n v="1373"/>
    <s v="08-Apr-2024"/>
    <x v="7"/>
    <x v="3"/>
    <x v="2"/>
    <x v="4"/>
    <s v="Yoga Mat"/>
    <n v="100"/>
    <n v="812"/>
    <n v="81200"/>
    <x v="0"/>
    <n v="77140"/>
    <n v="49990.77"/>
    <n v="27149.23"/>
    <n v="35.19"/>
    <x v="5"/>
  </r>
  <r>
    <n v="1983"/>
    <s v="27-Oct-2024"/>
    <x v="3"/>
    <x v="2"/>
    <x v="3"/>
    <x v="3"/>
    <s v="Jackets"/>
    <n v="49"/>
    <n v="1914"/>
    <n v="93786"/>
    <x v="3"/>
    <n v="93786"/>
    <n v="65176.02"/>
    <n v="28609.98"/>
    <n v="30.51"/>
    <x v="3"/>
  </r>
  <r>
    <n v="2086"/>
    <s v="03-Nov-2024"/>
    <x v="10"/>
    <x v="2"/>
    <x v="3"/>
    <x v="2"/>
    <s v="Sofa"/>
    <n v="55"/>
    <n v="17387"/>
    <n v="956285"/>
    <x v="1"/>
    <n v="812842.25"/>
    <n v="517127.02"/>
    <n v="295715.23"/>
    <n v="36.380000000000003"/>
    <x v="2"/>
  </r>
  <r>
    <n v="1923"/>
    <s v="27-Oct-2024"/>
    <x v="3"/>
    <x v="2"/>
    <x v="1"/>
    <x v="4"/>
    <s v="Yoga Mat"/>
    <n v="161"/>
    <n v="744"/>
    <n v="119784"/>
    <x v="4"/>
    <n v="107805.6"/>
    <n v="60627.9"/>
    <n v="47177.7"/>
    <n v="43.76"/>
    <x v="4"/>
  </r>
  <r>
    <n v="1066"/>
    <s v="21-Jan-2024"/>
    <x v="8"/>
    <x v="1"/>
    <x v="2"/>
    <x v="0"/>
    <s v="Organic Snacks"/>
    <n v="104"/>
    <n v="215"/>
    <n v="22360"/>
    <x v="0"/>
    <n v="21242"/>
    <n v="12533.22"/>
    <n v="8708.7800000000007"/>
    <n v="41"/>
    <x v="1"/>
  </r>
  <r>
    <n v="1888"/>
    <s v="26-Sep-2024"/>
    <x v="9"/>
    <x v="0"/>
    <x v="3"/>
    <x v="2"/>
    <s v="Wardrobe"/>
    <n v="55"/>
    <n v="12711"/>
    <n v="699105"/>
    <x v="2"/>
    <n v="559284"/>
    <n v="354504.24"/>
    <n v="204779.76"/>
    <n v="36.61"/>
    <x v="2"/>
  </r>
  <r>
    <n v="1306"/>
    <s v="08-Apr-2024"/>
    <x v="7"/>
    <x v="3"/>
    <x v="1"/>
    <x v="3"/>
    <s v="T-Shirts"/>
    <n v="164"/>
    <n v="479"/>
    <n v="78556"/>
    <x v="2"/>
    <n v="62844.800000000003"/>
    <n v="36451.67"/>
    <n v="26393.13"/>
    <n v="42"/>
    <x v="7"/>
  </r>
  <r>
    <n v="1617"/>
    <s v="23-Jul-2024"/>
    <x v="0"/>
    <x v="0"/>
    <x v="1"/>
    <x v="0"/>
    <s v="Beverages"/>
    <n v="154"/>
    <n v="82"/>
    <n v="12628"/>
    <x v="1"/>
    <n v="10733.8"/>
    <n v="6084.75"/>
    <n v="4649.05"/>
    <n v="43.31"/>
    <x v="7"/>
  </r>
  <r>
    <n v="1322"/>
    <s v="08-Apr-2024"/>
    <x v="7"/>
    <x v="3"/>
    <x v="1"/>
    <x v="4"/>
    <s v="Football"/>
    <n v="93"/>
    <n v="615"/>
    <n v="57195"/>
    <x v="0"/>
    <n v="54335.25"/>
    <n v="35116.120000000003"/>
    <n v="19219.13"/>
    <n v="35.369999999999997"/>
    <x v="6"/>
  </r>
  <r>
    <n v="1086"/>
    <s v="21-Jan-2024"/>
    <x v="8"/>
    <x v="1"/>
    <x v="3"/>
    <x v="2"/>
    <s v="Sofa"/>
    <n v="34"/>
    <n v="19649"/>
    <n v="668066"/>
    <x v="2"/>
    <n v="534452.80000000005"/>
    <n v="297974.94"/>
    <n v="236477.86"/>
    <n v="44.25"/>
    <x v="5"/>
  </r>
  <r>
    <n v="1919"/>
    <s v="27-Oct-2024"/>
    <x v="3"/>
    <x v="2"/>
    <x v="1"/>
    <x v="0"/>
    <s v="Frozen Foods"/>
    <n v="175"/>
    <n v="142"/>
    <n v="24850"/>
    <x v="3"/>
    <n v="24850"/>
    <n v="16030.31"/>
    <n v="8819.69"/>
    <n v="35.49"/>
    <x v="0"/>
  </r>
  <r>
    <n v="1881"/>
    <s v="26-Sep-2024"/>
    <x v="9"/>
    <x v="0"/>
    <x v="3"/>
    <x v="3"/>
    <s v="T-Shirts"/>
    <n v="65"/>
    <n v="467"/>
    <n v="30355"/>
    <x v="0"/>
    <n v="28837.25"/>
    <n v="18389.64"/>
    <n v="10447.61"/>
    <n v="36.229999999999997"/>
    <x v="0"/>
  </r>
  <r>
    <n v="1057"/>
    <s v="21-Jan-2024"/>
    <x v="8"/>
    <x v="1"/>
    <x v="2"/>
    <x v="3"/>
    <s v="Jeans"/>
    <n v="115"/>
    <n v="1283"/>
    <n v="147545"/>
    <x v="3"/>
    <n v="147545"/>
    <n v="95187.57"/>
    <n v="52357.43"/>
    <n v="35.49"/>
    <x v="6"/>
  </r>
  <r>
    <n v="1021"/>
    <s v="21-Jan-2024"/>
    <x v="8"/>
    <x v="1"/>
    <x v="1"/>
    <x v="4"/>
    <s v="Cricket Bat"/>
    <n v="61"/>
    <n v="1319"/>
    <n v="80459"/>
    <x v="0"/>
    <n v="76436.05"/>
    <n v="53173.64"/>
    <n v="23262.41"/>
    <n v="30.43"/>
    <x v="4"/>
  </r>
  <r>
    <n v="2159"/>
    <s v="15-Dec-2024"/>
    <x v="4"/>
    <x v="2"/>
    <x v="2"/>
    <x v="3"/>
    <s v="Dresses"/>
    <n v="64"/>
    <n v="1385"/>
    <n v="88640"/>
    <x v="4"/>
    <n v="79776"/>
    <n v="50751.8"/>
    <n v="29024.2"/>
    <n v="36.380000000000003"/>
    <x v="2"/>
  </r>
  <r>
    <n v="2012"/>
    <s v="03-Nov-2024"/>
    <x v="10"/>
    <x v="2"/>
    <x v="1"/>
    <x v="2"/>
    <s v="Dining Table"/>
    <n v="158"/>
    <n v="11304"/>
    <n v="1786032"/>
    <x v="0"/>
    <n v="1696730.4"/>
    <n v="982206.43"/>
    <n v="714523.97"/>
    <n v="42.11"/>
    <x v="6"/>
  </r>
  <r>
    <n v="1740"/>
    <s v="23-Aug-2024"/>
    <x v="2"/>
    <x v="0"/>
    <x v="0"/>
    <x v="2"/>
    <s v="Office Chair"/>
    <n v="122"/>
    <n v="4654"/>
    <n v="567788"/>
    <x v="2"/>
    <n v="454230.4"/>
    <n v="298670.23"/>
    <n v="155560.17000000001"/>
    <n v="34.25"/>
    <x v="4"/>
  </r>
  <r>
    <n v="1987"/>
    <s v="27-Oct-2024"/>
    <x v="3"/>
    <x v="2"/>
    <x v="3"/>
    <x v="2"/>
    <s v="Dining Table"/>
    <n v="132"/>
    <n v="12269"/>
    <n v="1619508"/>
    <x v="3"/>
    <n v="1619508"/>
    <n v="1029529.43"/>
    <n v="589978.56999999995"/>
    <n v="36.43"/>
    <x v="1"/>
  </r>
  <r>
    <n v="1044"/>
    <s v="21-Jan-2024"/>
    <x v="8"/>
    <x v="1"/>
    <x v="0"/>
    <x v="0"/>
    <s v="Frozen Foods"/>
    <n v="30"/>
    <n v="144"/>
    <n v="4320"/>
    <x v="3"/>
    <n v="4320"/>
    <n v="2751.31"/>
    <n v="1568.69"/>
    <n v="36.31"/>
    <x v="4"/>
  </r>
  <r>
    <n v="1873"/>
    <s v="26-Sep-2024"/>
    <x v="9"/>
    <x v="0"/>
    <x v="2"/>
    <x v="4"/>
    <s v="Yoga Mat"/>
    <n v="30"/>
    <n v="844"/>
    <n v="25320"/>
    <x v="3"/>
    <n v="25320"/>
    <n v="15989.04"/>
    <n v="9330.9599999999991"/>
    <n v="36.85"/>
    <x v="7"/>
  </r>
  <r>
    <n v="1660"/>
    <s v="23-Jul-2024"/>
    <x v="0"/>
    <x v="0"/>
    <x v="2"/>
    <x v="3"/>
    <s v="Shoes"/>
    <n v="26"/>
    <n v="1621"/>
    <n v="42146"/>
    <x v="0"/>
    <n v="40038.699999999997"/>
    <n v="23380.19"/>
    <n v="16658.509999999998"/>
    <n v="41.61"/>
    <x v="3"/>
  </r>
  <r>
    <n v="1181"/>
    <s v="13-Feb-2024"/>
    <x v="1"/>
    <x v="1"/>
    <x v="3"/>
    <x v="3"/>
    <s v="T-Shirts"/>
    <n v="84"/>
    <n v="485"/>
    <n v="40740"/>
    <x v="0"/>
    <n v="38703"/>
    <n v="24891.200000000001"/>
    <n v="13811.8"/>
    <n v="35.69"/>
    <x v="7"/>
  </r>
  <r>
    <n v="1564"/>
    <s v="07-Jun-2024"/>
    <x v="11"/>
    <x v="3"/>
    <x v="2"/>
    <x v="2"/>
    <s v="Bed Frame"/>
    <n v="52"/>
    <n v="10292"/>
    <n v="535184"/>
    <x v="3"/>
    <n v="535184"/>
    <n v="301735.02"/>
    <n v="233448.98"/>
    <n v="43.62"/>
    <x v="3"/>
  </r>
  <r>
    <n v="1675"/>
    <s v="23-Jul-2024"/>
    <x v="0"/>
    <x v="0"/>
    <x v="2"/>
    <x v="4"/>
    <s v="Cycling Gear"/>
    <n v="26"/>
    <n v="3212"/>
    <n v="83512"/>
    <x v="3"/>
    <n v="83512"/>
    <n v="56394.39"/>
    <n v="27117.61"/>
    <n v="32.47"/>
    <x v="2"/>
  </r>
  <r>
    <n v="1285"/>
    <s v="08-Mar-2024"/>
    <x v="5"/>
    <x v="1"/>
    <x v="3"/>
    <x v="3"/>
    <s v="Shoes"/>
    <n v="108"/>
    <n v="1885"/>
    <n v="203580"/>
    <x v="4"/>
    <n v="183222"/>
    <n v="104438.64"/>
    <n v="78783.360000000001"/>
    <n v="43"/>
    <x v="3"/>
  </r>
  <r>
    <n v="1823"/>
    <s v="26-Sep-2024"/>
    <x v="9"/>
    <x v="0"/>
    <x v="1"/>
    <x v="4"/>
    <s v="Yoga Mat"/>
    <n v="57"/>
    <n v="854"/>
    <n v="48678"/>
    <x v="4"/>
    <n v="43810.2"/>
    <n v="25120.74"/>
    <n v="18689.46"/>
    <n v="42.66"/>
    <x v="1"/>
  </r>
  <r>
    <n v="1265"/>
    <s v="08-Mar-2024"/>
    <x v="5"/>
    <x v="1"/>
    <x v="2"/>
    <x v="2"/>
    <s v="Office Chair"/>
    <n v="111"/>
    <n v="5284"/>
    <n v="586524"/>
    <x v="0"/>
    <n v="557197.80000000005"/>
    <n v="351091.27"/>
    <n v="206106.53"/>
    <n v="36.99"/>
    <x v="6"/>
  </r>
  <r>
    <n v="1030"/>
    <s v="21-Jan-2024"/>
    <x v="8"/>
    <x v="1"/>
    <x v="0"/>
    <x v="1"/>
    <s v="Smart TV"/>
    <n v="108"/>
    <n v="13995"/>
    <n v="1511460"/>
    <x v="1"/>
    <n v="1284741"/>
    <n v="892451.03"/>
    <n v="392289.97"/>
    <n v="30.53"/>
    <x v="5"/>
  </r>
  <r>
    <n v="2195"/>
    <s v="15-Dec-2024"/>
    <x v="4"/>
    <x v="2"/>
    <x v="3"/>
    <x v="0"/>
    <s v="Condiments"/>
    <n v="123"/>
    <n v="87"/>
    <n v="10701"/>
    <x v="4"/>
    <n v="9630.9"/>
    <n v="5497.82"/>
    <n v="4133.08"/>
    <n v="42.91"/>
    <x v="2"/>
  </r>
  <r>
    <n v="1280"/>
    <s v="08-Mar-2024"/>
    <x v="5"/>
    <x v="1"/>
    <x v="3"/>
    <x v="1"/>
    <s v="Smart TV"/>
    <n v="91"/>
    <n v="15225"/>
    <n v="1385475"/>
    <x v="3"/>
    <n v="1385475"/>
    <n v="822543.76"/>
    <n v="562931.24"/>
    <n v="40.630000000000003"/>
    <x v="4"/>
  </r>
  <r>
    <n v="1164"/>
    <s v="13-Feb-2024"/>
    <x v="1"/>
    <x v="1"/>
    <x v="2"/>
    <x v="2"/>
    <s v="Bed Frame"/>
    <n v="75"/>
    <n v="9074"/>
    <n v="680550"/>
    <x v="4"/>
    <n v="612495"/>
    <n v="416775.31"/>
    <n v="195719.69"/>
    <n v="31.95"/>
    <x v="2"/>
  </r>
  <r>
    <n v="1207"/>
    <s v="08-Mar-2024"/>
    <x v="5"/>
    <x v="1"/>
    <x v="1"/>
    <x v="3"/>
    <s v="Jeans"/>
    <n v="81"/>
    <n v="1267"/>
    <n v="102627"/>
    <x v="3"/>
    <n v="102627"/>
    <n v="63403.040000000001"/>
    <n v="39223.96"/>
    <n v="38.22"/>
    <x v="5"/>
  </r>
  <r>
    <n v="1038"/>
    <s v="21-Jan-2024"/>
    <x v="8"/>
    <x v="1"/>
    <x v="0"/>
    <x v="2"/>
    <s v="Wardrobe"/>
    <n v="21"/>
    <n v="14639"/>
    <n v="307419"/>
    <x v="3"/>
    <n v="307419"/>
    <n v="180546.7"/>
    <n v="126872.3"/>
    <n v="41.27"/>
    <x v="5"/>
  </r>
  <r>
    <n v="1928"/>
    <s v="27-Oct-2024"/>
    <x v="3"/>
    <x v="2"/>
    <x v="0"/>
    <x v="1"/>
    <s v="Tablet"/>
    <n v="85"/>
    <n v="4848"/>
    <n v="412080"/>
    <x v="4"/>
    <n v="370872"/>
    <n v="223145.8"/>
    <n v="147726.20000000001"/>
    <n v="39.83"/>
    <x v="4"/>
  </r>
  <r>
    <n v="1663"/>
    <s v="23-Jul-2024"/>
    <x v="0"/>
    <x v="0"/>
    <x v="2"/>
    <x v="2"/>
    <s v="Wardrobe"/>
    <n v="77"/>
    <n v="15124"/>
    <n v="1164548"/>
    <x v="4"/>
    <n v="1048093.2"/>
    <n v="694379.92"/>
    <n v="353713.28"/>
    <n v="33.75"/>
    <x v="7"/>
  </r>
  <r>
    <n v="1433"/>
    <s v="26-May-2024"/>
    <x v="6"/>
    <x v="3"/>
    <x v="0"/>
    <x v="3"/>
    <s v="Jackets"/>
    <n v="41"/>
    <n v="1896"/>
    <n v="77736"/>
    <x v="1"/>
    <n v="66075.600000000006"/>
    <n v="43051.9"/>
    <n v="23023.7"/>
    <n v="34.840000000000003"/>
    <x v="3"/>
  </r>
  <r>
    <n v="1447"/>
    <s v="26-May-2024"/>
    <x v="6"/>
    <x v="3"/>
    <x v="0"/>
    <x v="4"/>
    <s v="Football"/>
    <n v="121"/>
    <n v="583"/>
    <n v="70543"/>
    <x v="0"/>
    <n v="67015.850000000006"/>
    <n v="44105.47"/>
    <n v="22910.38"/>
    <n v="34.19"/>
    <x v="2"/>
  </r>
  <r>
    <n v="1574"/>
    <s v="07-Jun-2024"/>
    <x v="11"/>
    <x v="3"/>
    <x v="2"/>
    <x v="4"/>
    <s v="Dumbbells"/>
    <n v="31"/>
    <n v="2197"/>
    <n v="68107"/>
    <x v="4"/>
    <n v="61296.3"/>
    <n v="40763.65"/>
    <n v="20532.650000000001"/>
    <n v="33.5"/>
    <x v="5"/>
  </r>
  <r>
    <n v="1498"/>
    <s v="26-May-2024"/>
    <x v="6"/>
    <x v="3"/>
    <x v="3"/>
    <x v="4"/>
    <s v="Yoga Mat"/>
    <n v="115"/>
    <n v="860"/>
    <n v="98900"/>
    <x v="2"/>
    <n v="79120"/>
    <n v="54793.62"/>
    <n v="24326.38"/>
    <n v="30.75"/>
    <x v="3"/>
  </r>
  <r>
    <n v="1476"/>
    <s v="26-May-2024"/>
    <x v="6"/>
    <x v="3"/>
    <x v="3"/>
    <x v="1"/>
    <s v="Laptop"/>
    <n v="68"/>
    <n v="12829"/>
    <n v="872372"/>
    <x v="3"/>
    <n v="872372"/>
    <n v="586286.97"/>
    <n v="286085.03000000003"/>
    <n v="32.79"/>
    <x v="6"/>
  </r>
  <r>
    <n v="1318"/>
    <s v="08-Apr-2024"/>
    <x v="7"/>
    <x v="3"/>
    <x v="1"/>
    <x v="0"/>
    <s v="Dairy Products"/>
    <n v="109"/>
    <n v="110"/>
    <n v="11990"/>
    <x v="3"/>
    <n v="11990"/>
    <n v="7658.87"/>
    <n v="4331.13"/>
    <n v="36.119999999999997"/>
    <x v="7"/>
  </r>
  <r>
    <n v="1848"/>
    <s v="26-Sep-2024"/>
    <x v="9"/>
    <x v="0"/>
    <x v="0"/>
    <x v="4"/>
    <s v="Yoga Mat"/>
    <n v="73"/>
    <n v="749"/>
    <n v="54677"/>
    <x v="3"/>
    <n v="54677"/>
    <n v="31097.87"/>
    <n v="23579.13"/>
    <n v="43.12"/>
    <x v="5"/>
  </r>
  <r>
    <n v="1817"/>
    <s v="26-Sep-2024"/>
    <x v="9"/>
    <x v="0"/>
    <x v="1"/>
    <x v="0"/>
    <s v="Beverages"/>
    <n v="95"/>
    <n v="76"/>
    <n v="7220"/>
    <x v="1"/>
    <n v="6137"/>
    <n v="3958.67"/>
    <n v="2178.33"/>
    <n v="35.5"/>
    <x v="5"/>
  </r>
  <r>
    <n v="1029"/>
    <s v="21-Jan-2024"/>
    <x v="8"/>
    <x v="1"/>
    <x v="0"/>
    <x v="1"/>
    <s v="Headphones"/>
    <n v="111"/>
    <n v="805"/>
    <n v="89355"/>
    <x v="3"/>
    <n v="89355"/>
    <n v="50866.11"/>
    <n v="38488.89"/>
    <n v="43.07"/>
    <x v="2"/>
  </r>
  <r>
    <n v="1197"/>
    <s v="13-Feb-2024"/>
    <x v="1"/>
    <x v="1"/>
    <x v="3"/>
    <x v="4"/>
    <s v="Football"/>
    <n v="20"/>
    <n v="584"/>
    <n v="11680"/>
    <x v="2"/>
    <n v="9344"/>
    <n v="5762.49"/>
    <n v="3581.51"/>
    <n v="38.33"/>
    <x v="5"/>
  </r>
  <r>
    <n v="1154"/>
    <s v="13-Feb-2024"/>
    <x v="1"/>
    <x v="1"/>
    <x v="2"/>
    <x v="1"/>
    <s v="Headphones"/>
    <n v="81"/>
    <n v="808"/>
    <n v="65448"/>
    <x v="3"/>
    <n v="65448"/>
    <n v="38202.33"/>
    <n v="27245.67"/>
    <n v="41.63"/>
    <x v="1"/>
  </r>
  <r>
    <n v="1117"/>
    <s v="13-Feb-2024"/>
    <x v="1"/>
    <x v="1"/>
    <x v="1"/>
    <x v="0"/>
    <s v="Beverages"/>
    <n v="122"/>
    <n v="75"/>
    <n v="9150"/>
    <x v="0"/>
    <n v="8692.5"/>
    <n v="5243.52"/>
    <n v="3448.98"/>
    <n v="39.68"/>
    <x v="6"/>
  </r>
  <r>
    <n v="1416"/>
    <s v="26-May-2024"/>
    <x v="6"/>
    <x v="3"/>
    <x v="1"/>
    <x v="0"/>
    <s v="Organic Snacks"/>
    <n v="61"/>
    <n v="213"/>
    <n v="12993"/>
    <x v="2"/>
    <n v="10394.4"/>
    <n v="6435.43"/>
    <n v="3958.97"/>
    <n v="38.090000000000003"/>
    <x v="3"/>
  </r>
  <r>
    <n v="1484"/>
    <s v="26-May-2024"/>
    <x v="6"/>
    <x v="3"/>
    <x v="3"/>
    <x v="3"/>
    <s v="Dresses"/>
    <n v="129"/>
    <n v="1416"/>
    <n v="182664"/>
    <x v="3"/>
    <n v="182664"/>
    <n v="107996.06"/>
    <n v="74667.94"/>
    <n v="40.880000000000003"/>
    <x v="6"/>
  </r>
  <r>
    <n v="1526"/>
    <s v="07-Jun-2024"/>
    <x v="11"/>
    <x v="3"/>
    <x v="0"/>
    <x v="1"/>
    <s v="Laptop"/>
    <n v="32"/>
    <n v="12088"/>
    <n v="386816"/>
    <x v="3"/>
    <n v="386816"/>
    <n v="228848.14"/>
    <n v="157967.85999999999"/>
    <n v="40.840000000000003"/>
    <x v="6"/>
  </r>
  <r>
    <n v="1329"/>
    <s v="08-Apr-2024"/>
    <x v="7"/>
    <x v="3"/>
    <x v="0"/>
    <x v="1"/>
    <s v="Headphones"/>
    <n v="49"/>
    <n v="858"/>
    <n v="42042"/>
    <x v="3"/>
    <n v="42042"/>
    <n v="28253.14"/>
    <n v="13788.86"/>
    <n v="32.799999999999997"/>
    <x v="3"/>
  </r>
  <r>
    <n v="1588"/>
    <s v="07-Jun-2024"/>
    <x v="11"/>
    <x v="3"/>
    <x v="3"/>
    <x v="2"/>
    <s v="Wardrobe"/>
    <n v="40"/>
    <n v="14641"/>
    <n v="585640"/>
    <x v="1"/>
    <n v="497794"/>
    <n v="337311.96"/>
    <n v="160482.04"/>
    <n v="32.24"/>
    <x v="4"/>
  </r>
  <r>
    <n v="2100"/>
    <s v="03-Nov-2024"/>
    <x v="10"/>
    <x v="2"/>
    <x v="3"/>
    <x v="4"/>
    <s v="Cycling Gear"/>
    <n v="30"/>
    <n v="3593"/>
    <n v="107790"/>
    <x v="0"/>
    <n v="102400.5"/>
    <n v="68926.89"/>
    <n v="33473.61"/>
    <n v="32.69"/>
    <x v="1"/>
  </r>
  <r>
    <n v="1845"/>
    <s v="26-Sep-2024"/>
    <x v="9"/>
    <x v="0"/>
    <x v="0"/>
    <x v="0"/>
    <s v="Condiments"/>
    <n v="130"/>
    <n v="82"/>
    <n v="10660"/>
    <x v="3"/>
    <n v="10660"/>
    <n v="6412.46"/>
    <n v="4247.54"/>
    <n v="39.85"/>
    <x v="3"/>
  </r>
  <r>
    <n v="1417"/>
    <s v="26-May-2024"/>
    <x v="6"/>
    <x v="3"/>
    <x v="1"/>
    <x v="0"/>
    <s v="Beverages"/>
    <n v="48"/>
    <n v="84"/>
    <n v="4032"/>
    <x v="2"/>
    <n v="3225.6"/>
    <n v="1863.13"/>
    <n v="1362.47"/>
    <n v="42.24"/>
    <x v="4"/>
  </r>
  <r>
    <n v="1132"/>
    <s v="13-Feb-2024"/>
    <x v="1"/>
    <x v="1"/>
    <x v="0"/>
    <x v="3"/>
    <s v="Jeans"/>
    <n v="25"/>
    <n v="1140"/>
    <n v="28500"/>
    <x v="1"/>
    <n v="24225"/>
    <n v="15526.96"/>
    <n v="8698.0400000000009"/>
    <n v="35.909999999999997"/>
    <x v="5"/>
  </r>
  <r>
    <n v="1653"/>
    <s v="23-Jul-2024"/>
    <x v="0"/>
    <x v="0"/>
    <x v="2"/>
    <x v="1"/>
    <s v="Tablet"/>
    <n v="107"/>
    <n v="4913"/>
    <n v="525691"/>
    <x v="3"/>
    <n v="525691"/>
    <n v="299961.8"/>
    <n v="225729.2"/>
    <n v="42.94"/>
    <x v="5"/>
  </r>
  <r>
    <n v="1841"/>
    <s v="26-Sep-2024"/>
    <x v="9"/>
    <x v="0"/>
    <x v="0"/>
    <x v="0"/>
    <s v="Organic Snacks"/>
    <n v="94"/>
    <n v="206"/>
    <n v="19364"/>
    <x v="3"/>
    <n v="19364"/>
    <n v="13494.89"/>
    <n v="5869.11"/>
    <n v="30.31"/>
    <x v="6"/>
  </r>
  <r>
    <n v="1892"/>
    <s v="26-Sep-2024"/>
    <x v="9"/>
    <x v="0"/>
    <x v="3"/>
    <x v="0"/>
    <s v="Beverages"/>
    <n v="121"/>
    <n v="86"/>
    <n v="10406"/>
    <x v="4"/>
    <n v="9365.4"/>
    <n v="6241.13"/>
    <n v="3124.27"/>
    <n v="33.36"/>
    <x v="5"/>
  </r>
  <r>
    <n v="2058"/>
    <s v="03-Nov-2024"/>
    <x v="10"/>
    <x v="2"/>
    <x v="2"/>
    <x v="3"/>
    <s v="Jackets"/>
    <n v="126"/>
    <n v="2141"/>
    <n v="269766"/>
    <x v="0"/>
    <n v="256277.7"/>
    <n v="150641.99"/>
    <n v="105635.71"/>
    <n v="41.22"/>
    <x v="6"/>
  </r>
  <r>
    <n v="1309"/>
    <s v="08-Apr-2024"/>
    <x v="7"/>
    <x v="3"/>
    <x v="1"/>
    <x v="3"/>
    <s v="Dresses"/>
    <n v="123"/>
    <n v="1628"/>
    <n v="200244"/>
    <x v="3"/>
    <n v="200244"/>
    <n v="133974.14000000001"/>
    <n v="66269.86"/>
    <n v="33.090000000000003"/>
    <x v="5"/>
  </r>
  <r>
    <n v="1493"/>
    <s v="26-May-2024"/>
    <x v="6"/>
    <x v="3"/>
    <x v="3"/>
    <x v="0"/>
    <s v="Dairy Products"/>
    <n v="60"/>
    <n v="114"/>
    <n v="6840"/>
    <x v="3"/>
    <n v="6840"/>
    <n v="3901.11"/>
    <n v="2938.89"/>
    <n v="42.97"/>
    <x v="0"/>
  </r>
  <r>
    <n v="1303"/>
    <s v="08-Apr-2024"/>
    <x v="7"/>
    <x v="3"/>
    <x v="1"/>
    <x v="1"/>
    <s v="Tablet"/>
    <n v="104"/>
    <n v="5029"/>
    <n v="523016"/>
    <x v="1"/>
    <n v="444563.6"/>
    <n v="265474.63"/>
    <n v="179088.97"/>
    <n v="40.28"/>
    <x v="6"/>
  </r>
  <r>
    <n v="1948"/>
    <s v="27-Oct-2024"/>
    <x v="3"/>
    <x v="2"/>
    <x v="0"/>
    <x v="4"/>
    <s v="Yoga Mat"/>
    <n v="86"/>
    <n v="770"/>
    <n v="66220"/>
    <x v="4"/>
    <n v="59598"/>
    <n v="36794.339999999997"/>
    <n v="22803.66"/>
    <n v="38.26"/>
    <x v="7"/>
  </r>
  <r>
    <n v="1747"/>
    <s v="23-Aug-2024"/>
    <x v="2"/>
    <x v="0"/>
    <x v="0"/>
    <x v="4"/>
    <s v="Football"/>
    <n v="39"/>
    <n v="587"/>
    <n v="22893"/>
    <x v="0"/>
    <n v="21748.35"/>
    <n v="15093.79"/>
    <n v="6654.56"/>
    <n v="30.6"/>
    <x v="7"/>
  </r>
  <r>
    <n v="1123"/>
    <s v="13-Feb-2024"/>
    <x v="1"/>
    <x v="1"/>
    <x v="1"/>
    <x v="4"/>
    <s v="Yoga Mat"/>
    <n v="61"/>
    <n v="793"/>
    <n v="48373"/>
    <x v="0"/>
    <n v="45954.35"/>
    <n v="27007.86"/>
    <n v="18946.490000000002"/>
    <n v="41.23"/>
    <x v="1"/>
  </r>
  <r>
    <n v="1889"/>
    <s v="26-Sep-2024"/>
    <x v="9"/>
    <x v="0"/>
    <x v="3"/>
    <x v="2"/>
    <s v="Bed Frame"/>
    <n v="46"/>
    <n v="9373"/>
    <n v="431158"/>
    <x v="4"/>
    <n v="388042.2"/>
    <n v="232263.49"/>
    <n v="155778.71"/>
    <n v="40.14"/>
    <x v="2"/>
  </r>
  <r>
    <n v="1549"/>
    <s v="07-Jun-2024"/>
    <x v="11"/>
    <x v="3"/>
    <x v="0"/>
    <x v="4"/>
    <s v="Dumbbells"/>
    <n v="26"/>
    <n v="1893"/>
    <n v="49218"/>
    <x v="1"/>
    <n v="41835.300000000003"/>
    <n v="27407.439999999999"/>
    <n v="14427.86"/>
    <n v="34.49"/>
    <x v="3"/>
  </r>
  <r>
    <n v="1958"/>
    <s v="27-Oct-2024"/>
    <x v="3"/>
    <x v="2"/>
    <x v="2"/>
    <x v="3"/>
    <s v="Jackets"/>
    <n v="52"/>
    <n v="1891"/>
    <n v="98332"/>
    <x v="1"/>
    <n v="83582.2"/>
    <n v="55555.49"/>
    <n v="28026.71"/>
    <n v="33.53"/>
    <x v="4"/>
  </r>
  <r>
    <n v="1437"/>
    <s v="26-May-2024"/>
    <x v="6"/>
    <x v="3"/>
    <x v="0"/>
    <x v="2"/>
    <s v="Dining Table"/>
    <n v="83"/>
    <n v="11654"/>
    <n v="967282"/>
    <x v="1"/>
    <n v="822189.7"/>
    <n v="505463.48"/>
    <n v="316726.21999999997"/>
    <n v="38.520000000000003"/>
    <x v="0"/>
  </r>
  <r>
    <n v="1383"/>
    <s v="08-Apr-2024"/>
    <x v="7"/>
    <x v="3"/>
    <x v="3"/>
    <x v="3"/>
    <s v="Jackets"/>
    <n v="92"/>
    <n v="2069"/>
    <n v="190348"/>
    <x v="0"/>
    <n v="180830.6"/>
    <n v="119075.51"/>
    <n v="61755.09"/>
    <n v="34.15"/>
    <x v="0"/>
  </r>
  <r>
    <n v="1039"/>
    <s v="21-Jan-2024"/>
    <x v="8"/>
    <x v="1"/>
    <x v="0"/>
    <x v="2"/>
    <s v="Bed Frame"/>
    <n v="68"/>
    <n v="9280"/>
    <n v="631040"/>
    <x v="3"/>
    <n v="631040"/>
    <n v="373437.97"/>
    <n v="257602.03"/>
    <n v="40.82"/>
    <x v="5"/>
  </r>
  <r>
    <n v="1370"/>
    <s v="08-Apr-2024"/>
    <x v="7"/>
    <x v="3"/>
    <x v="2"/>
    <x v="0"/>
    <s v="Condiments"/>
    <n v="133"/>
    <n v="90"/>
    <n v="11970"/>
    <x v="3"/>
    <n v="11970"/>
    <n v="7303.2"/>
    <n v="4666.8"/>
    <n v="38.99"/>
    <x v="1"/>
  </r>
  <r>
    <n v="1929"/>
    <s v="27-Oct-2024"/>
    <x v="3"/>
    <x v="2"/>
    <x v="0"/>
    <x v="1"/>
    <s v="Headphones"/>
    <n v="136"/>
    <n v="747"/>
    <n v="101592"/>
    <x v="4"/>
    <n v="91432.8"/>
    <n v="58739.46"/>
    <n v="32693.34"/>
    <n v="35.76"/>
    <x v="2"/>
  </r>
  <r>
    <n v="1515"/>
    <s v="07-Jun-2024"/>
    <x v="11"/>
    <x v="3"/>
    <x v="1"/>
    <x v="2"/>
    <s v="Office Chair"/>
    <n v="165"/>
    <n v="4640"/>
    <n v="765600"/>
    <x v="3"/>
    <n v="765600"/>
    <n v="488786.67"/>
    <n v="276813.33"/>
    <n v="36.159999999999997"/>
    <x v="0"/>
  </r>
  <r>
    <n v="2072"/>
    <s v="03-Nov-2024"/>
    <x v="10"/>
    <x v="2"/>
    <x v="2"/>
    <x v="4"/>
    <s v="Football"/>
    <n v="89"/>
    <n v="541"/>
    <n v="48149"/>
    <x v="3"/>
    <n v="48149"/>
    <n v="32488.7"/>
    <n v="15660.3"/>
    <n v="32.520000000000003"/>
    <x v="4"/>
  </r>
  <r>
    <n v="1849"/>
    <s v="26-Sep-2024"/>
    <x v="9"/>
    <x v="0"/>
    <x v="0"/>
    <x v="4"/>
    <s v="Dumbbells"/>
    <n v="105"/>
    <n v="2176"/>
    <n v="228480"/>
    <x v="3"/>
    <n v="228480"/>
    <n v="132880.71"/>
    <n v="95599.29"/>
    <n v="41.84"/>
    <x v="0"/>
  </r>
  <r>
    <n v="1642"/>
    <s v="23-Jul-2024"/>
    <x v="0"/>
    <x v="0"/>
    <x v="0"/>
    <x v="0"/>
    <s v="Beverages"/>
    <n v="112"/>
    <n v="86"/>
    <n v="9632"/>
    <x v="0"/>
    <n v="9150.4"/>
    <n v="5933.28"/>
    <n v="3217.12"/>
    <n v="35.159999999999997"/>
    <x v="6"/>
  </r>
  <r>
    <n v="1887"/>
    <s v="26-Sep-2024"/>
    <x v="9"/>
    <x v="0"/>
    <x v="3"/>
    <x v="2"/>
    <s v="Dining Table"/>
    <n v="121"/>
    <n v="10851"/>
    <n v="1312971"/>
    <x v="1"/>
    <n v="1116025.3500000001"/>
    <n v="673772.54"/>
    <n v="442252.81"/>
    <n v="39.630000000000003"/>
    <x v="7"/>
  </r>
  <r>
    <n v="1615"/>
    <s v="23-Jul-2024"/>
    <x v="0"/>
    <x v="0"/>
    <x v="1"/>
    <x v="2"/>
    <s v="Office Chair"/>
    <n v="162"/>
    <n v="4758"/>
    <n v="770796"/>
    <x v="3"/>
    <n v="770796"/>
    <n v="433999.86"/>
    <n v="336796.14"/>
    <n v="43.69"/>
    <x v="0"/>
  </r>
  <r>
    <n v="2178"/>
    <s v="15-Dec-2024"/>
    <x v="4"/>
    <x v="2"/>
    <x v="3"/>
    <x v="1"/>
    <s v="Tablet"/>
    <n v="168"/>
    <n v="5255"/>
    <n v="882840"/>
    <x v="3"/>
    <n v="882840"/>
    <n v="511948.88"/>
    <n v="370891.12"/>
    <n v="42.01"/>
    <x v="0"/>
  </r>
  <r>
    <n v="1619"/>
    <s v="23-Jul-2024"/>
    <x v="0"/>
    <x v="0"/>
    <x v="1"/>
    <x v="0"/>
    <s v="Frozen Foods"/>
    <n v="154"/>
    <n v="161"/>
    <n v="24794"/>
    <x v="4"/>
    <n v="22314.6"/>
    <n v="15211.51"/>
    <n v="7103.09"/>
    <n v="31.83"/>
    <x v="6"/>
  </r>
  <r>
    <n v="1158"/>
    <s v="13-Feb-2024"/>
    <x v="1"/>
    <x v="1"/>
    <x v="2"/>
    <x v="3"/>
    <s v="Jackets"/>
    <n v="118"/>
    <n v="1910"/>
    <n v="225380"/>
    <x v="1"/>
    <n v="191573"/>
    <n v="115131.79"/>
    <n v="76441.210000000006"/>
    <n v="39.9"/>
    <x v="6"/>
  </r>
  <r>
    <n v="1712"/>
    <s v="23-Aug-2024"/>
    <x v="2"/>
    <x v="0"/>
    <x v="1"/>
    <x v="2"/>
    <s v="Dining Table"/>
    <n v="55"/>
    <n v="12298"/>
    <n v="676390"/>
    <x v="0"/>
    <n v="642570.5"/>
    <n v="419593.2"/>
    <n v="222977.3"/>
    <n v="34.700000000000003"/>
    <x v="7"/>
  </r>
  <r>
    <n v="1430"/>
    <s v="26-May-2024"/>
    <x v="6"/>
    <x v="3"/>
    <x v="0"/>
    <x v="1"/>
    <s v="Smart TV"/>
    <n v="55"/>
    <n v="16272"/>
    <n v="894960"/>
    <x v="0"/>
    <n v="850212"/>
    <n v="582307.43000000005"/>
    <n v="267904.57"/>
    <n v="31.51"/>
    <x v="4"/>
  </r>
  <r>
    <n v="1875"/>
    <s v="26-Sep-2024"/>
    <x v="9"/>
    <x v="0"/>
    <x v="2"/>
    <x v="4"/>
    <s v="Cycling Gear"/>
    <n v="161"/>
    <n v="3650"/>
    <n v="587650"/>
    <x v="1"/>
    <n v="499502.5"/>
    <n v="332510.71999999997"/>
    <n v="166991.78"/>
    <n v="33.43"/>
    <x v="2"/>
  </r>
  <r>
    <n v="1974"/>
    <s v="27-Oct-2024"/>
    <x v="3"/>
    <x v="2"/>
    <x v="2"/>
    <x v="4"/>
    <s v="Dumbbells"/>
    <n v="51"/>
    <n v="1858"/>
    <n v="94758"/>
    <x v="3"/>
    <n v="94758"/>
    <n v="58080.71"/>
    <n v="36677.29"/>
    <n v="38.71"/>
    <x v="6"/>
  </r>
  <r>
    <n v="1138"/>
    <s v="13-Feb-2024"/>
    <x v="1"/>
    <x v="1"/>
    <x v="0"/>
    <x v="2"/>
    <s v="Wardrobe"/>
    <n v="23"/>
    <n v="13254"/>
    <n v="304842"/>
    <x v="0"/>
    <n v="289599.90000000002"/>
    <n v="193503.18"/>
    <n v="96096.72"/>
    <n v="33.18"/>
    <x v="5"/>
  </r>
  <r>
    <n v="1690"/>
    <s v="23-Jul-2024"/>
    <x v="0"/>
    <x v="0"/>
    <x v="3"/>
    <x v="2"/>
    <s v="Office Chair"/>
    <n v="95"/>
    <n v="5164"/>
    <n v="490580"/>
    <x v="1"/>
    <n v="416993"/>
    <n v="238644.33"/>
    <n v="178348.67"/>
    <n v="42.77"/>
    <x v="4"/>
  </r>
  <r>
    <n v="1195"/>
    <s v="13-Feb-2024"/>
    <x v="1"/>
    <x v="1"/>
    <x v="3"/>
    <x v="0"/>
    <s v="Condiments"/>
    <n v="59"/>
    <n v="88"/>
    <n v="5192"/>
    <x v="1"/>
    <n v="4413.2"/>
    <n v="2816.07"/>
    <n v="1597.13"/>
    <n v="36.19"/>
    <x v="7"/>
  </r>
  <r>
    <n v="1189"/>
    <s v="13-Feb-2024"/>
    <x v="1"/>
    <x v="1"/>
    <x v="3"/>
    <x v="2"/>
    <s v="Bed Frame"/>
    <n v="18"/>
    <n v="10073"/>
    <n v="181314"/>
    <x v="2"/>
    <n v="145051.20000000001"/>
    <n v="87797.73"/>
    <n v="57253.47"/>
    <n v="39.47"/>
    <x v="6"/>
  </r>
  <r>
    <n v="1463"/>
    <s v="26-May-2024"/>
    <x v="6"/>
    <x v="3"/>
    <x v="2"/>
    <x v="2"/>
    <s v="Wardrobe"/>
    <n v="95"/>
    <n v="14053"/>
    <n v="1335035"/>
    <x v="0"/>
    <n v="1268283.25"/>
    <n v="782361.81"/>
    <n v="485921.44"/>
    <n v="38.31"/>
    <x v="0"/>
  </r>
  <r>
    <n v="1824"/>
    <s v="26-Sep-2024"/>
    <x v="9"/>
    <x v="0"/>
    <x v="1"/>
    <x v="4"/>
    <s v="Dumbbells"/>
    <n v="41"/>
    <n v="1831"/>
    <n v="75071"/>
    <x v="2"/>
    <n v="60056.800000000003"/>
    <n v="38560.910000000003"/>
    <n v="21495.89"/>
    <n v="35.79"/>
    <x v="4"/>
  </r>
  <r>
    <n v="1609"/>
    <s v="23-Jul-2024"/>
    <x v="0"/>
    <x v="0"/>
    <x v="1"/>
    <x v="3"/>
    <s v="Dresses"/>
    <n v="39"/>
    <n v="1453"/>
    <n v="56667"/>
    <x v="1"/>
    <n v="48166.95"/>
    <n v="33505.21"/>
    <n v="14661.74"/>
    <n v="30.44"/>
    <x v="5"/>
  </r>
  <r>
    <n v="1098"/>
    <s v="21-Jan-2024"/>
    <x v="8"/>
    <x v="1"/>
    <x v="3"/>
    <x v="4"/>
    <s v="Yoga Mat"/>
    <n v="85"/>
    <n v="848"/>
    <n v="72080"/>
    <x v="3"/>
    <n v="72080"/>
    <n v="48731.55"/>
    <n v="23348.45"/>
    <n v="32.39"/>
    <x v="7"/>
  </r>
  <r>
    <n v="1544"/>
    <s v="07-Jun-2024"/>
    <x v="11"/>
    <x v="3"/>
    <x v="0"/>
    <x v="0"/>
    <s v="Frozen Foods"/>
    <n v="97"/>
    <n v="144"/>
    <n v="13968"/>
    <x v="0"/>
    <n v="13269.6"/>
    <n v="8221.7000000000007"/>
    <n v="5047.8999999999996"/>
    <n v="38.04"/>
    <x v="2"/>
  </r>
  <r>
    <n v="1589"/>
    <s v="07-Jun-2024"/>
    <x v="11"/>
    <x v="3"/>
    <x v="3"/>
    <x v="2"/>
    <s v="Bed Frame"/>
    <n v="48"/>
    <n v="9636"/>
    <n v="462528"/>
    <x v="0"/>
    <n v="439401.6"/>
    <n v="283830.15000000002"/>
    <n v="155571.45000000001"/>
    <n v="35.409999999999997"/>
    <x v="1"/>
  </r>
  <r>
    <n v="1439"/>
    <s v="26-May-2024"/>
    <x v="6"/>
    <x v="3"/>
    <x v="0"/>
    <x v="2"/>
    <s v="Bed Frame"/>
    <n v="54"/>
    <n v="9760"/>
    <n v="527040"/>
    <x v="3"/>
    <n v="527040"/>
    <n v="348346.19"/>
    <n v="178693.81"/>
    <n v="33.909999999999997"/>
    <x v="3"/>
  </r>
  <r>
    <n v="1155"/>
    <s v="13-Feb-2024"/>
    <x v="1"/>
    <x v="1"/>
    <x v="2"/>
    <x v="1"/>
    <s v="Smart TV"/>
    <n v="71"/>
    <n v="13852"/>
    <n v="983492"/>
    <x v="3"/>
    <n v="983492"/>
    <n v="614442.85"/>
    <n v="369049.15"/>
    <n v="37.520000000000003"/>
    <x v="6"/>
  </r>
  <r>
    <n v="2087"/>
    <s v="03-Nov-2024"/>
    <x v="10"/>
    <x v="2"/>
    <x v="3"/>
    <x v="2"/>
    <s v="Dining Table"/>
    <n v="115"/>
    <n v="11769"/>
    <n v="1353435"/>
    <x v="3"/>
    <n v="1353435"/>
    <n v="854043.62"/>
    <n v="499391.38"/>
    <n v="36.9"/>
    <x v="4"/>
  </r>
  <r>
    <n v="2182"/>
    <s v="15-Dec-2024"/>
    <x v="4"/>
    <x v="2"/>
    <x v="3"/>
    <x v="3"/>
    <s v="Jeans"/>
    <n v="111"/>
    <n v="1198"/>
    <n v="132978"/>
    <x v="0"/>
    <n v="126329.1"/>
    <n v="70019.97"/>
    <n v="56309.13"/>
    <n v="44.57"/>
    <x v="6"/>
  </r>
  <r>
    <n v="1893"/>
    <s v="26-Sep-2024"/>
    <x v="9"/>
    <x v="0"/>
    <x v="3"/>
    <x v="0"/>
    <s v="Dairy Products"/>
    <n v="64"/>
    <n v="110"/>
    <n v="7040"/>
    <x v="1"/>
    <n v="5984"/>
    <n v="3461.63"/>
    <n v="2522.37"/>
    <n v="42.15"/>
    <x v="2"/>
  </r>
  <r>
    <n v="1614"/>
    <s v="23-Jul-2024"/>
    <x v="0"/>
    <x v="0"/>
    <x v="1"/>
    <x v="2"/>
    <s v="Bed Frame"/>
    <n v="32"/>
    <n v="9157"/>
    <n v="293024"/>
    <x v="1"/>
    <n v="249070.4"/>
    <n v="144532.54"/>
    <n v="104537.86"/>
    <n v="41.97"/>
    <x v="7"/>
  </r>
  <r>
    <n v="1342"/>
    <s v="08-Apr-2024"/>
    <x v="7"/>
    <x v="3"/>
    <x v="0"/>
    <x v="0"/>
    <s v="Beverages"/>
    <n v="106"/>
    <n v="77"/>
    <n v="8162"/>
    <x v="3"/>
    <n v="8162"/>
    <n v="4940.08"/>
    <n v="3221.92"/>
    <n v="39.47"/>
    <x v="1"/>
  </r>
  <r>
    <n v="1696"/>
    <s v="23-Jul-2024"/>
    <x v="0"/>
    <x v="0"/>
    <x v="3"/>
    <x v="4"/>
    <s v="Cricket Bat"/>
    <n v="38"/>
    <n v="1179"/>
    <n v="44802"/>
    <x v="3"/>
    <n v="44802"/>
    <n v="30191.45"/>
    <n v="14610.55"/>
    <n v="32.61"/>
    <x v="6"/>
  </r>
  <r>
    <n v="2030"/>
    <s v="03-Nov-2024"/>
    <x v="10"/>
    <x v="2"/>
    <x v="0"/>
    <x v="1"/>
    <s v="Smart TV"/>
    <n v="124"/>
    <n v="14527"/>
    <n v="1801348"/>
    <x v="0"/>
    <n v="1711280.6"/>
    <n v="985634"/>
    <n v="725646.6"/>
    <n v="42.4"/>
    <x v="1"/>
  </r>
  <r>
    <n v="2018"/>
    <s v="03-Nov-2024"/>
    <x v="10"/>
    <x v="2"/>
    <x v="1"/>
    <x v="0"/>
    <s v="Dairy Products"/>
    <n v="48"/>
    <n v="117"/>
    <n v="5616"/>
    <x v="2"/>
    <n v="4492.8"/>
    <n v="2886.39"/>
    <n v="1606.41"/>
    <n v="35.76"/>
    <x v="6"/>
  </r>
  <r>
    <n v="1689"/>
    <s v="23-Jul-2024"/>
    <x v="0"/>
    <x v="0"/>
    <x v="3"/>
    <x v="2"/>
    <s v="Bed Frame"/>
    <n v="100"/>
    <n v="10376"/>
    <n v="1037600"/>
    <x v="3"/>
    <n v="1037600"/>
    <n v="638048.44999999995"/>
    <n v="399551.55"/>
    <n v="38.51"/>
    <x v="5"/>
  </r>
  <r>
    <n v="1422"/>
    <s v="26-May-2024"/>
    <x v="6"/>
    <x v="3"/>
    <x v="1"/>
    <x v="4"/>
    <s v="Football"/>
    <n v="103"/>
    <n v="574"/>
    <n v="59122"/>
    <x v="1"/>
    <n v="50253.7"/>
    <n v="33716.47"/>
    <n v="16537.23"/>
    <n v="32.909999999999997"/>
    <x v="7"/>
  </r>
  <r>
    <n v="1205"/>
    <s v="08-Mar-2024"/>
    <x v="5"/>
    <x v="1"/>
    <x v="1"/>
    <x v="1"/>
    <s v="Smart TV"/>
    <n v="36"/>
    <n v="14575"/>
    <n v="524700"/>
    <x v="0"/>
    <n v="498465"/>
    <n v="318184.14"/>
    <n v="180280.86"/>
    <n v="36.17"/>
    <x v="4"/>
  </r>
  <r>
    <n v="2001"/>
    <s v="03-Nov-2024"/>
    <x v="10"/>
    <x v="2"/>
    <x v="1"/>
    <x v="1"/>
    <s v="Laptop"/>
    <n v="224"/>
    <n v="11473"/>
    <n v="2569952"/>
    <x v="3"/>
    <n v="2569952"/>
    <n v="1544214.42"/>
    <n v="1025737.58"/>
    <n v="39.909999999999997"/>
    <x v="0"/>
  </r>
  <r>
    <n v="1201"/>
    <s v="08-Mar-2024"/>
    <x v="5"/>
    <x v="1"/>
    <x v="1"/>
    <x v="1"/>
    <s v="Laptop"/>
    <n v="147"/>
    <n v="12689"/>
    <n v="1865283"/>
    <x v="0"/>
    <n v="1772018.85"/>
    <n v="992847.14"/>
    <n v="779171.71"/>
    <n v="43.97"/>
    <x v="5"/>
  </r>
  <r>
    <n v="1661"/>
    <s v="23-Jul-2024"/>
    <x v="0"/>
    <x v="0"/>
    <x v="2"/>
    <x v="2"/>
    <s v="Sofa"/>
    <n v="73"/>
    <n v="16570"/>
    <n v="1209610"/>
    <x v="0"/>
    <n v="1149129.5"/>
    <n v="660810.4"/>
    <n v="488319.1"/>
    <n v="42.49"/>
    <x v="4"/>
  </r>
  <r>
    <n v="1800"/>
    <s v="23-Aug-2024"/>
    <x v="2"/>
    <x v="0"/>
    <x v="3"/>
    <x v="4"/>
    <s v="Cycling Gear"/>
    <n v="127"/>
    <n v="3748"/>
    <n v="475996"/>
    <x v="3"/>
    <n v="475996"/>
    <n v="315191.28000000003"/>
    <n v="160804.72"/>
    <n v="33.78"/>
    <x v="2"/>
  </r>
  <r>
    <n v="2138"/>
    <s v="15-Dec-2024"/>
    <x v="4"/>
    <x v="2"/>
    <x v="0"/>
    <x v="2"/>
    <s v="Wardrobe"/>
    <n v="144"/>
    <n v="14571"/>
    <n v="2098224"/>
    <x v="3"/>
    <n v="2098224"/>
    <n v="1424814.53"/>
    <n v="673409.47"/>
    <n v="32.090000000000003"/>
    <x v="1"/>
  </r>
  <r>
    <n v="1649"/>
    <s v="23-Jul-2024"/>
    <x v="0"/>
    <x v="0"/>
    <x v="0"/>
    <x v="4"/>
    <s v="Dumbbells"/>
    <n v="114"/>
    <n v="1889"/>
    <n v="215346"/>
    <x v="0"/>
    <n v="204578.7"/>
    <n v="135355.71"/>
    <n v="69222.990000000005"/>
    <n v="33.840000000000003"/>
    <x v="6"/>
  </r>
  <r>
    <n v="1046"/>
    <s v="21-Jan-2024"/>
    <x v="8"/>
    <x v="1"/>
    <x v="0"/>
    <x v="4"/>
    <s v="Cricket Bat"/>
    <n v="20"/>
    <n v="1202"/>
    <n v="24040"/>
    <x v="3"/>
    <n v="24040"/>
    <n v="13469.09"/>
    <n v="10570.91"/>
    <n v="43.97"/>
    <x v="1"/>
  </r>
  <r>
    <n v="1962"/>
    <s v="27-Oct-2024"/>
    <x v="3"/>
    <x v="2"/>
    <x v="2"/>
    <x v="2"/>
    <s v="Dining Table"/>
    <n v="124"/>
    <n v="12778"/>
    <n v="1584472"/>
    <x v="4"/>
    <n v="1426024.8"/>
    <n v="868623.94"/>
    <n v="557400.86"/>
    <n v="39.090000000000003"/>
    <x v="4"/>
  </r>
  <r>
    <n v="1042"/>
    <s v="21-Jan-2024"/>
    <x v="8"/>
    <x v="1"/>
    <x v="0"/>
    <x v="0"/>
    <s v="Beverages"/>
    <n v="62"/>
    <n v="86"/>
    <n v="5332"/>
    <x v="3"/>
    <n v="5332"/>
    <n v="3064.28"/>
    <n v="2267.7199999999998"/>
    <n v="42.53"/>
    <x v="4"/>
  </r>
  <r>
    <n v="1547"/>
    <s v="07-Jun-2024"/>
    <x v="11"/>
    <x v="3"/>
    <x v="0"/>
    <x v="4"/>
    <s v="Football"/>
    <n v="124"/>
    <n v="585"/>
    <n v="72540"/>
    <x v="0"/>
    <n v="68913"/>
    <n v="38976.67"/>
    <n v="29936.33"/>
    <n v="43.44"/>
    <x v="5"/>
  </r>
  <r>
    <n v="1863"/>
    <s v="26-Sep-2024"/>
    <x v="9"/>
    <x v="0"/>
    <x v="2"/>
    <x v="2"/>
    <s v="Wardrobe"/>
    <n v="100"/>
    <n v="13128"/>
    <n v="1312800"/>
    <x v="1"/>
    <n v="1115880"/>
    <n v="679808.39"/>
    <n v="436071.61"/>
    <n v="39.08"/>
    <x v="7"/>
  </r>
  <r>
    <n v="2055"/>
    <s v="03-Nov-2024"/>
    <x v="10"/>
    <x v="2"/>
    <x v="2"/>
    <x v="1"/>
    <s v="Smart TV"/>
    <n v="84"/>
    <n v="13606"/>
    <n v="1142904"/>
    <x v="0"/>
    <n v="1085758.8"/>
    <n v="715564.73"/>
    <n v="370194.07"/>
    <n v="34.1"/>
    <x v="6"/>
  </r>
  <r>
    <n v="1866"/>
    <s v="26-Sep-2024"/>
    <x v="9"/>
    <x v="0"/>
    <x v="2"/>
    <x v="0"/>
    <s v="Organic Snacks"/>
    <n v="81"/>
    <n v="214"/>
    <n v="17334"/>
    <x v="3"/>
    <n v="17334"/>
    <n v="9888.94"/>
    <n v="7445.06"/>
    <n v="42.95"/>
    <x v="1"/>
  </r>
  <r>
    <n v="1944"/>
    <s v="27-Oct-2024"/>
    <x v="3"/>
    <x v="2"/>
    <x v="0"/>
    <x v="0"/>
    <s v="Frozen Foods"/>
    <n v="57"/>
    <n v="164"/>
    <n v="9348"/>
    <x v="0"/>
    <n v="8880.6"/>
    <n v="5965.84"/>
    <n v="2914.76"/>
    <n v="32.82"/>
    <x v="6"/>
  </r>
  <r>
    <n v="1077"/>
    <s v="21-Jan-2024"/>
    <x v="8"/>
    <x v="1"/>
    <x v="3"/>
    <x v="1"/>
    <s v="Smartphone"/>
    <n v="57"/>
    <n v="7673"/>
    <n v="437361"/>
    <x v="3"/>
    <n v="437361"/>
    <n v="253134.06"/>
    <n v="184226.94"/>
    <n v="42.12"/>
    <x v="0"/>
  </r>
  <r>
    <n v="1668"/>
    <s v="23-Jul-2024"/>
    <x v="0"/>
    <x v="0"/>
    <x v="2"/>
    <x v="0"/>
    <s v="Dairy Products"/>
    <n v="31"/>
    <n v="111"/>
    <n v="3441"/>
    <x v="2"/>
    <n v="2752.8"/>
    <n v="1671.05"/>
    <n v="1081.75"/>
    <n v="39.299999999999997"/>
    <x v="6"/>
  </r>
  <r>
    <n v="2103"/>
    <s v="15-Dec-2024"/>
    <x v="4"/>
    <x v="2"/>
    <x v="1"/>
    <x v="1"/>
    <s v="Tablet"/>
    <n v="124"/>
    <n v="5312"/>
    <n v="658688"/>
    <x v="1"/>
    <n v="559884.80000000005"/>
    <n v="335166.77"/>
    <n v="224718.03"/>
    <n v="40.14"/>
    <x v="7"/>
  </r>
  <r>
    <n v="1041"/>
    <s v="21-Jan-2024"/>
    <x v="8"/>
    <x v="1"/>
    <x v="0"/>
    <x v="0"/>
    <s v="Organic Snacks"/>
    <n v="110"/>
    <n v="217"/>
    <n v="23870"/>
    <x v="0"/>
    <n v="22676.5"/>
    <n v="13037.78"/>
    <n v="9638.7199999999993"/>
    <n v="42.51"/>
    <x v="2"/>
  </r>
  <r>
    <n v="1348"/>
    <s v="08-Apr-2024"/>
    <x v="7"/>
    <x v="3"/>
    <x v="0"/>
    <x v="4"/>
    <s v="Yoga Mat"/>
    <n v="126"/>
    <n v="838"/>
    <n v="105588"/>
    <x v="3"/>
    <n v="105588"/>
    <n v="69251.61"/>
    <n v="36336.39"/>
    <n v="34.409999999999997"/>
    <x v="5"/>
  </r>
  <r>
    <n v="1692"/>
    <s v="23-Jul-2024"/>
    <x v="0"/>
    <x v="0"/>
    <x v="3"/>
    <x v="0"/>
    <s v="Beverages"/>
    <n v="34"/>
    <n v="80"/>
    <n v="2720"/>
    <x v="0"/>
    <n v="2584"/>
    <n v="1549.45"/>
    <n v="1034.55"/>
    <n v="40.04"/>
    <x v="6"/>
  </r>
  <r>
    <n v="1235"/>
    <s v="08-Mar-2024"/>
    <x v="5"/>
    <x v="1"/>
    <x v="0"/>
    <x v="3"/>
    <s v="Shoes"/>
    <n v="25"/>
    <n v="1930"/>
    <n v="48250"/>
    <x v="3"/>
    <n v="48250"/>
    <n v="29694.639999999999"/>
    <n v="18555.36"/>
    <n v="38.46"/>
    <x v="2"/>
  </r>
  <r>
    <n v="1625"/>
    <s v="23-Jul-2024"/>
    <x v="0"/>
    <x v="0"/>
    <x v="1"/>
    <x v="4"/>
    <s v="Cycling Gear"/>
    <n v="152"/>
    <n v="3375"/>
    <n v="513000"/>
    <x v="1"/>
    <n v="436050"/>
    <n v="279397.67"/>
    <n v="156652.32999999999"/>
    <n v="35.93"/>
    <x v="1"/>
  </r>
  <r>
    <n v="1135"/>
    <s v="13-Feb-2024"/>
    <x v="1"/>
    <x v="1"/>
    <x v="0"/>
    <x v="3"/>
    <s v="Shoes"/>
    <n v="81"/>
    <n v="1715"/>
    <n v="138915"/>
    <x v="3"/>
    <n v="138915"/>
    <n v="79675.89"/>
    <n v="59239.11"/>
    <n v="42.64"/>
    <x v="7"/>
  </r>
  <r>
    <n v="1174"/>
    <s v="13-Feb-2024"/>
    <x v="1"/>
    <x v="1"/>
    <x v="2"/>
    <x v="4"/>
    <s v="Dumbbells"/>
    <n v="75"/>
    <n v="2033"/>
    <n v="152475"/>
    <x v="0"/>
    <n v="144851.25"/>
    <n v="89687.91"/>
    <n v="55163.34"/>
    <n v="38.08"/>
    <x v="6"/>
  </r>
  <r>
    <n v="2153"/>
    <s v="15-Dec-2024"/>
    <x v="4"/>
    <x v="2"/>
    <x v="2"/>
    <x v="1"/>
    <s v="Tablet"/>
    <n v="36"/>
    <n v="5302"/>
    <n v="190872"/>
    <x v="4"/>
    <n v="171784.8"/>
    <n v="105090"/>
    <n v="66694.8"/>
    <n v="38.82"/>
    <x v="3"/>
  </r>
  <r>
    <n v="1481"/>
    <s v="26-May-2024"/>
    <x v="6"/>
    <x v="3"/>
    <x v="3"/>
    <x v="3"/>
    <s v="T-Shirts"/>
    <n v="105"/>
    <n v="537"/>
    <n v="56385"/>
    <x v="3"/>
    <n v="56385"/>
    <n v="35110.449999999997"/>
    <n v="21274.55"/>
    <n v="37.729999999999997"/>
    <x v="5"/>
  </r>
  <r>
    <n v="1508"/>
    <s v="07-Jun-2024"/>
    <x v="11"/>
    <x v="3"/>
    <x v="1"/>
    <x v="3"/>
    <s v="Jackets"/>
    <n v="24"/>
    <n v="1991"/>
    <n v="47784"/>
    <x v="3"/>
    <n v="47784"/>
    <n v="30536.46"/>
    <n v="17247.54"/>
    <n v="36.090000000000003"/>
    <x v="2"/>
  </r>
  <r>
    <n v="1501"/>
    <s v="07-Jun-2024"/>
    <x v="11"/>
    <x v="3"/>
    <x v="1"/>
    <x v="1"/>
    <s v="Laptop"/>
    <n v="176"/>
    <n v="12780"/>
    <n v="2249280"/>
    <x v="2"/>
    <n v="1799424"/>
    <n v="1062164.94"/>
    <n v="737259.06"/>
    <n v="40.97"/>
    <x v="6"/>
  </r>
  <r>
    <n v="1116"/>
    <s v="13-Feb-2024"/>
    <x v="1"/>
    <x v="1"/>
    <x v="1"/>
    <x v="0"/>
    <s v="Organic Snacks"/>
    <n v="48"/>
    <n v="199"/>
    <n v="9552"/>
    <x v="1"/>
    <n v="8119.2"/>
    <n v="4875.25"/>
    <n v="3243.95"/>
    <n v="39.950000000000003"/>
    <x v="2"/>
  </r>
  <r>
    <n v="1844"/>
    <s v="26-Sep-2024"/>
    <x v="9"/>
    <x v="0"/>
    <x v="0"/>
    <x v="0"/>
    <s v="Frozen Foods"/>
    <n v="132"/>
    <n v="154"/>
    <n v="20328"/>
    <x v="4"/>
    <n v="18295.2"/>
    <n v="11219.94"/>
    <n v="7075.26"/>
    <n v="38.67"/>
    <x v="0"/>
  </r>
  <r>
    <n v="1732"/>
    <s v="23-Aug-2024"/>
    <x v="2"/>
    <x v="0"/>
    <x v="0"/>
    <x v="3"/>
    <s v="Jeans"/>
    <n v="149"/>
    <n v="1228"/>
    <n v="182972"/>
    <x v="2"/>
    <n v="146377.60000000001"/>
    <n v="102390.35"/>
    <n v="43987.25"/>
    <n v="30.05"/>
    <x v="4"/>
  </r>
  <r>
    <n v="1707"/>
    <s v="23-Aug-2024"/>
    <x v="2"/>
    <x v="0"/>
    <x v="1"/>
    <x v="3"/>
    <s v="Jeans"/>
    <n v="169"/>
    <n v="1267"/>
    <n v="214123"/>
    <x v="3"/>
    <n v="214123"/>
    <n v="139987.76"/>
    <n v="74135.240000000005"/>
    <n v="34.619999999999997"/>
    <x v="7"/>
  </r>
  <r>
    <n v="1877"/>
    <s v="26-Sep-2024"/>
    <x v="9"/>
    <x v="0"/>
    <x v="3"/>
    <x v="1"/>
    <s v="Smartphone"/>
    <n v="92"/>
    <n v="8771"/>
    <n v="806932"/>
    <x v="2"/>
    <n v="645545.6"/>
    <n v="392729.57"/>
    <n v="252816.03"/>
    <n v="39.159999999999997"/>
    <x v="6"/>
  </r>
  <r>
    <n v="1200"/>
    <s v="13-Feb-2024"/>
    <x v="1"/>
    <x v="1"/>
    <x v="3"/>
    <x v="4"/>
    <s v="Cycling Gear"/>
    <n v="27"/>
    <n v="3298"/>
    <n v="89046"/>
    <x v="3"/>
    <n v="89046"/>
    <n v="49650.87"/>
    <n v="39395.129999999997"/>
    <n v="44.24"/>
    <x v="3"/>
  </r>
  <r>
    <n v="1780"/>
    <s v="23-Aug-2024"/>
    <x v="2"/>
    <x v="0"/>
    <x v="3"/>
    <x v="1"/>
    <s v="Smart TV"/>
    <n v="40"/>
    <n v="15277"/>
    <n v="611080"/>
    <x v="3"/>
    <n v="611080"/>
    <n v="393798.93"/>
    <n v="217281.07"/>
    <n v="35.56"/>
    <x v="4"/>
  </r>
  <r>
    <n v="1699"/>
    <s v="23-Jul-2024"/>
    <x v="0"/>
    <x v="0"/>
    <x v="3"/>
    <x v="4"/>
    <s v="Dumbbells"/>
    <n v="130"/>
    <n v="1945"/>
    <n v="252850"/>
    <x v="2"/>
    <n v="202280"/>
    <n v="114713.7"/>
    <n v="87566.3"/>
    <n v="43.29"/>
    <x v="5"/>
  </r>
  <r>
    <n v="1056"/>
    <s v="21-Jan-2024"/>
    <x v="8"/>
    <x v="1"/>
    <x v="2"/>
    <x v="3"/>
    <s v="T-Shirts"/>
    <n v="95"/>
    <n v="470"/>
    <n v="44650"/>
    <x v="0"/>
    <n v="42417.5"/>
    <n v="26545.35"/>
    <n v="15872.15"/>
    <n v="37.42"/>
    <x v="6"/>
  </r>
  <r>
    <n v="1715"/>
    <s v="23-Aug-2024"/>
    <x v="2"/>
    <x v="0"/>
    <x v="1"/>
    <x v="2"/>
    <s v="Office Chair"/>
    <n v="130"/>
    <n v="5394"/>
    <n v="701220"/>
    <x v="0"/>
    <n v="666159"/>
    <n v="454068.35"/>
    <n v="212090.65"/>
    <n v="31.84"/>
    <x v="0"/>
  </r>
  <r>
    <n v="1751"/>
    <s v="23-Aug-2024"/>
    <x v="2"/>
    <x v="0"/>
    <x v="2"/>
    <x v="1"/>
    <s v="Laptop"/>
    <n v="54"/>
    <n v="12974"/>
    <n v="700596"/>
    <x v="3"/>
    <n v="700596"/>
    <n v="402242.4"/>
    <n v="298353.59999999998"/>
    <n v="42.59"/>
    <x v="5"/>
  </r>
  <r>
    <n v="1263"/>
    <s v="08-Mar-2024"/>
    <x v="5"/>
    <x v="1"/>
    <x v="2"/>
    <x v="2"/>
    <s v="Wardrobe"/>
    <n v="38"/>
    <n v="14928"/>
    <n v="567264"/>
    <x v="3"/>
    <n v="567264"/>
    <n v="373360.37"/>
    <n v="193903.63"/>
    <n v="34.18"/>
    <x v="4"/>
  </r>
  <r>
    <n v="1093"/>
    <s v="21-Jan-2024"/>
    <x v="8"/>
    <x v="1"/>
    <x v="3"/>
    <x v="0"/>
    <s v="Dairy Products"/>
    <n v="89"/>
    <n v="110"/>
    <n v="9790"/>
    <x v="1"/>
    <n v="8321.5"/>
    <n v="4989.84"/>
    <n v="3331.66"/>
    <n v="40.04"/>
    <x v="2"/>
  </r>
  <r>
    <n v="1058"/>
    <s v="21-Jan-2024"/>
    <x v="8"/>
    <x v="1"/>
    <x v="2"/>
    <x v="3"/>
    <s v="Jackets"/>
    <n v="21"/>
    <n v="1933"/>
    <n v="40593"/>
    <x v="3"/>
    <n v="40593"/>
    <n v="26205.5"/>
    <n v="14387.5"/>
    <n v="35.44"/>
    <x v="6"/>
  </r>
  <r>
    <n v="1126"/>
    <s v="13-Feb-2024"/>
    <x v="1"/>
    <x v="1"/>
    <x v="0"/>
    <x v="1"/>
    <s v="Laptop"/>
    <n v="47"/>
    <n v="11666"/>
    <n v="548302"/>
    <x v="0"/>
    <n v="520886.9"/>
    <n v="287593.25"/>
    <n v="233293.65"/>
    <n v="44.79"/>
    <x v="7"/>
  </r>
  <r>
    <n v="1657"/>
    <s v="23-Jul-2024"/>
    <x v="0"/>
    <x v="0"/>
    <x v="2"/>
    <x v="3"/>
    <s v="Jeans"/>
    <n v="101"/>
    <n v="1263"/>
    <n v="127563"/>
    <x v="3"/>
    <n v="127563"/>
    <n v="72635.759999999995"/>
    <n v="54927.24"/>
    <n v="43.06"/>
    <x v="0"/>
  </r>
  <r>
    <n v="1583"/>
    <s v="07-Jun-2024"/>
    <x v="11"/>
    <x v="3"/>
    <x v="3"/>
    <x v="3"/>
    <s v="Jackets"/>
    <n v="105"/>
    <n v="2167"/>
    <n v="227535"/>
    <x v="3"/>
    <n v="227535"/>
    <n v="154034.85"/>
    <n v="73500.149999999994"/>
    <n v="32.299999999999997"/>
    <x v="3"/>
  </r>
  <r>
    <n v="1723"/>
    <s v="23-Aug-2024"/>
    <x v="2"/>
    <x v="0"/>
    <x v="1"/>
    <x v="4"/>
    <s v="Yoga Mat"/>
    <n v="142"/>
    <n v="807"/>
    <n v="114594"/>
    <x v="0"/>
    <n v="108864.3"/>
    <n v="72549.570000000007"/>
    <n v="36314.730000000003"/>
    <n v="33.36"/>
    <x v="5"/>
  </r>
  <r>
    <n v="1774"/>
    <s v="23-Aug-2024"/>
    <x v="2"/>
    <x v="0"/>
    <x v="2"/>
    <x v="4"/>
    <s v="Dumbbells"/>
    <n v="169"/>
    <n v="1889"/>
    <n v="319241"/>
    <x v="1"/>
    <n v="271354.84999999998"/>
    <n v="163609.26"/>
    <n v="107745.59"/>
    <n v="39.71"/>
    <x v="3"/>
  </r>
  <r>
    <n v="2014"/>
    <s v="03-Nov-2024"/>
    <x v="10"/>
    <x v="2"/>
    <x v="1"/>
    <x v="2"/>
    <s v="Bed Frame"/>
    <n v="85"/>
    <n v="9031"/>
    <n v="767635"/>
    <x v="3"/>
    <n v="767635"/>
    <n v="445985.65"/>
    <n v="321649.34999999998"/>
    <n v="41.9"/>
    <x v="3"/>
  </r>
  <r>
    <n v="1540"/>
    <s v="07-Jun-2024"/>
    <x v="11"/>
    <x v="3"/>
    <x v="0"/>
    <x v="2"/>
    <s v="Office Chair"/>
    <n v="77"/>
    <n v="5220"/>
    <n v="401940"/>
    <x v="0"/>
    <n v="381843"/>
    <n v="257323.83"/>
    <n v="124519.17"/>
    <n v="32.61"/>
    <x v="3"/>
  </r>
  <r>
    <n v="1802"/>
    <s v="26-Sep-2024"/>
    <x v="9"/>
    <x v="0"/>
    <x v="1"/>
    <x v="1"/>
    <s v="Smartphone"/>
    <n v="143"/>
    <n v="8182"/>
    <n v="1170026"/>
    <x v="3"/>
    <n v="1170026"/>
    <n v="671724.45"/>
    <n v="498301.55"/>
    <n v="42.59"/>
    <x v="4"/>
  </r>
  <r>
    <n v="1115"/>
    <s v="13-Feb-2024"/>
    <x v="1"/>
    <x v="1"/>
    <x v="1"/>
    <x v="2"/>
    <s v="Office Chair"/>
    <n v="57"/>
    <n v="4745"/>
    <n v="270465"/>
    <x v="3"/>
    <n v="270465"/>
    <n v="160071.79999999999"/>
    <n v="110393.2"/>
    <n v="40.82"/>
    <x v="2"/>
  </r>
  <r>
    <n v="2038"/>
    <s v="03-Nov-2024"/>
    <x v="10"/>
    <x v="2"/>
    <x v="0"/>
    <x v="2"/>
    <s v="Wardrobe"/>
    <n v="173"/>
    <n v="14987"/>
    <n v="2592751"/>
    <x v="3"/>
    <n v="2592751"/>
    <n v="1569608.5"/>
    <n v="1023142.5"/>
    <n v="39.46"/>
    <x v="4"/>
  </r>
  <r>
    <n v="1321"/>
    <s v="08-Apr-2024"/>
    <x v="7"/>
    <x v="3"/>
    <x v="1"/>
    <x v="4"/>
    <s v="Cricket Bat"/>
    <n v="115"/>
    <n v="1264"/>
    <n v="145360"/>
    <x v="1"/>
    <n v="123556"/>
    <n v="79411.45"/>
    <n v="44144.55"/>
    <n v="35.729999999999997"/>
    <x v="4"/>
  </r>
  <r>
    <n v="1963"/>
    <s v="27-Oct-2024"/>
    <x v="3"/>
    <x v="2"/>
    <x v="2"/>
    <x v="2"/>
    <s v="Wardrobe"/>
    <n v="110"/>
    <n v="13865"/>
    <n v="1525150"/>
    <x v="3"/>
    <n v="1525150"/>
    <n v="1039644.41"/>
    <n v="485505.59"/>
    <n v="31.83"/>
    <x v="5"/>
  </r>
  <r>
    <n v="2105"/>
    <s v="15-Dec-2024"/>
    <x v="4"/>
    <x v="2"/>
    <x v="1"/>
    <x v="1"/>
    <s v="Smart TV"/>
    <n v="104"/>
    <n v="13862"/>
    <n v="1441648"/>
    <x v="3"/>
    <n v="1441648"/>
    <n v="956724.48"/>
    <n v="484923.52"/>
    <n v="33.64"/>
    <x v="7"/>
  </r>
  <r>
    <n v="2135"/>
    <s v="15-Dec-2024"/>
    <x v="4"/>
    <x v="2"/>
    <x v="0"/>
    <x v="3"/>
    <s v="Shoes"/>
    <n v="94"/>
    <n v="1706"/>
    <n v="160364"/>
    <x v="3"/>
    <n v="160364"/>
    <n v="88583.39"/>
    <n v="71780.61"/>
    <n v="44.76"/>
    <x v="6"/>
  </r>
  <r>
    <n v="2179"/>
    <s v="15-Dec-2024"/>
    <x v="4"/>
    <x v="2"/>
    <x v="3"/>
    <x v="1"/>
    <s v="Headphones"/>
    <n v="86"/>
    <n v="798"/>
    <n v="68628"/>
    <x v="0"/>
    <n v="65196.6"/>
    <n v="44019.95"/>
    <n v="21176.65"/>
    <n v="32.479999999999997"/>
    <x v="6"/>
  </r>
  <r>
    <n v="1225"/>
    <s v="08-Mar-2024"/>
    <x v="5"/>
    <x v="1"/>
    <x v="1"/>
    <x v="4"/>
    <s v="Cycling Gear"/>
    <n v="131"/>
    <n v="3546"/>
    <n v="464526"/>
    <x v="1"/>
    <n v="394847.1"/>
    <n v="221287.25"/>
    <n v="173559.85"/>
    <n v="43.96"/>
    <x v="4"/>
  </r>
  <r>
    <n v="1999"/>
    <s v="27-Oct-2024"/>
    <x v="3"/>
    <x v="2"/>
    <x v="3"/>
    <x v="4"/>
    <s v="Dumbbells"/>
    <n v="168"/>
    <n v="1822"/>
    <n v="306096"/>
    <x v="0"/>
    <n v="290791.2"/>
    <n v="184577.21"/>
    <n v="106213.99"/>
    <n v="36.53"/>
    <x v="3"/>
  </r>
  <r>
    <n v="1797"/>
    <s v="23-Aug-2024"/>
    <x v="2"/>
    <x v="0"/>
    <x v="3"/>
    <x v="4"/>
    <s v="Football"/>
    <n v="102"/>
    <n v="613"/>
    <n v="62526"/>
    <x v="1"/>
    <n v="53147.1"/>
    <n v="35249.589999999997"/>
    <n v="17897.509999999998"/>
    <n v="33.68"/>
    <x v="0"/>
  </r>
  <r>
    <n v="1640"/>
    <s v="23-Jul-2024"/>
    <x v="0"/>
    <x v="0"/>
    <x v="0"/>
    <x v="2"/>
    <s v="Office Chair"/>
    <n v="94"/>
    <n v="5162"/>
    <n v="485228"/>
    <x v="4"/>
    <n v="436705.2"/>
    <n v="276966.55"/>
    <n v="159738.65"/>
    <n v="36.58"/>
    <x v="6"/>
  </r>
  <r>
    <n v="2199"/>
    <s v="15-Dec-2024"/>
    <x v="4"/>
    <x v="2"/>
    <x v="3"/>
    <x v="4"/>
    <s v="Dumbbells"/>
    <n v="112"/>
    <n v="2105"/>
    <n v="235760"/>
    <x v="3"/>
    <n v="235760"/>
    <n v="132417.03"/>
    <n v="103342.97"/>
    <n v="43.83"/>
    <x v="2"/>
  </r>
  <r>
    <n v="1883"/>
    <s v="26-Sep-2024"/>
    <x v="9"/>
    <x v="0"/>
    <x v="3"/>
    <x v="3"/>
    <s v="Jackets"/>
    <n v="114"/>
    <n v="1862"/>
    <n v="212268"/>
    <x v="3"/>
    <n v="212268"/>
    <n v="124666.77"/>
    <n v="87601.23"/>
    <n v="41.27"/>
    <x v="2"/>
  </r>
  <r>
    <n v="1337"/>
    <s v="08-Apr-2024"/>
    <x v="7"/>
    <x v="3"/>
    <x v="0"/>
    <x v="2"/>
    <s v="Dining Table"/>
    <n v="67"/>
    <n v="12708"/>
    <n v="851436"/>
    <x v="4"/>
    <n v="766292.4"/>
    <n v="485580.16"/>
    <n v="280712.24"/>
    <n v="36.630000000000003"/>
    <x v="3"/>
  </r>
  <r>
    <n v="2188"/>
    <s v="15-Dec-2024"/>
    <x v="4"/>
    <x v="2"/>
    <x v="3"/>
    <x v="2"/>
    <s v="Wardrobe"/>
    <n v="39"/>
    <n v="13417"/>
    <n v="523263"/>
    <x v="3"/>
    <n v="523263"/>
    <n v="328127.75"/>
    <n v="195135.25"/>
    <n v="37.29"/>
    <x v="7"/>
  </r>
  <r>
    <n v="2141"/>
    <s v="15-Dec-2024"/>
    <x v="4"/>
    <x v="2"/>
    <x v="0"/>
    <x v="0"/>
    <s v="Organic Snacks"/>
    <n v="143"/>
    <n v="193"/>
    <n v="27599"/>
    <x v="3"/>
    <n v="27599"/>
    <n v="17310.38"/>
    <n v="10288.620000000001"/>
    <n v="37.28"/>
    <x v="3"/>
  </r>
  <r>
    <n v="1363"/>
    <s v="08-Apr-2024"/>
    <x v="7"/>
    <x v="3"/>
    <x v="2"/>
    <x v="2"/>
    <s v="Wardrobe"/>
    <n v="110"/>
    <n v="13250"/>
    <n v="1457500"/>
    <x v="3"/>
    <n v="1457500"/>
    <n v="1001279.85"/>
    <n v="456220.15"/>
    <n v="31.3"/>
    <x v="7"/>
  </r>
  <r>
    <n v="1068"/>
    <s v="21-Jan-2024"/>
    <x v="8"/>
    <x v="1"/>
    <x v="2"/>
    <x v="0"/>
    <s v="Dairy Products"/>
    <n v="54"/>
    <n v="128"/>
    <n v="6912"/>
    <x v="0"/>
    <n v="6566.4"/>
    <n v="3831.09"/>
    <n v="2735.31"/>
    <n v="41.66"/>
    <x v="5"/>
  </r>
  <r>
    <n v="1074"/>
    <s v="21-Jan-2024"/>
    <x v="8"/>
    <x v="1"/>
    <x v="2"/>
    <x v="4"/>
    <s v="Dumbbells"/>
    <n v="16"/>
    <n v="2170"/>
    <n v="34720"/>
    <x v="0"/>
    <n v="32984"/>
    <n v="19943.22"/>
    <n v="13040.78"/>
    <n v="39.54"/>
    <x v="1"/>
  </r>
  <r>
    <n v="1942"/>
    <s v="27-Oct-2024"/>
    <x v="3"/>
    <x v="2"/>
    <x v="0"/>
    <x v="0"/>
    <s v="Beverages"/>
    <n v="28"/>
    <n v="87"/>
    <n v="2436"/>
    <x v="0"/>
    <n v="2314.1999999999998"/>
    <n v="1388.6"/>
    <n v="925.6"/>
    <n v="40"/>
    <x v="0"/>
  </r>
  <r>
    <n v="1907"/>
    <s v="27-Oct-2024"/>
    <x v="3"/>
    <x v="2"/>
    <x v="1"/>
    <x v="3"/>
    <s v="Jeans"/>
    <n v="186"/>
    <n v="1297"/>
    <n v="241242"/>
    <x v="4"/>
    <n v="217117.8"/>
    <n v="146929.72"/>
    <n v="70188.08"/>
    <n v="32.33"/>
    <x v="0"/>
  </r>
  <r>
    <n v="1771"/>
    <s v="23-Aug-2024"/>
    <x v="2"/>
    <x v="0"/>
    <x v="2"/>
    <x v="4"/>
    <s v="Cricket Bat"/>
    <n v="155"/>
    <n v="1090"/>
    <n v="168950"/>
    <x v="4"/>
    <n v="152055"/>
    <n v="85984.63"/>
    <n v="66070.37"/>
    <n v="43.45"/>
    <x v="6"/>
  </r>
  <r>
    <n v="1645"/>
    <s v="23-Jul-2024"/>
    <x v="0"/>
    <x v="0"/>
    <x v="0"/>
    <x v="0"/>
    <s v="Condiments"/>
    <n v="58"/>
    <n v="89"/>
    <n v="5162"/>
    <x v="1"/>
    <n v="4387.7"/>
    <n v="2898.12"/>
    <n v="1489.58"/>
    <n v="33.950000000000003"/>
    <x v="5"/>
  </r>
  <r>
    <n v="1922"/>
    <s v="27-Oct-2024"/>
    <x v="3"/>
    <x v="2"/>
    <x v="1"/>
    <x v="4"/>
    <s v="Football"/>
    <n v="193"/>
    <n v="630"/>
    <n v="121590"/>
    <x v="3"/>
    <n v="121590"/>
    <n v="70925.009999999995"/>
    <n v="50664.99"/>
    <n v="41.67"/>
    <x v="6"/>
  </r>
  <r>
    <n v="1786"/>
    <s v="23-Aug-2024"/>
    <x v="2"/>
    <x v="0"/>
    <x v="3"/>
    <x v="2"/>
    <s v="Sofa"/>
    <n v="153"/>
    <n v="18348"/>
    <n v="2807244"/>
    <x v="3"/>
    <n v="2807244"/>
    <n v="1640755.71"/>
    <n v="1166488.29"/>
    <n v="41.55"/>
    <x v="0"/>
  </r>
  <r>
    <n v="1882"/>
    <s v="26-Sep-2024"/>
    <x v="9"/>
    <x v="0"/>
    <x v="3"/>
    <x v="3"/>
    <s v="Jeans"/>
    <n v="128"/>
    <n v="1082"/>
    <n v="138496"/>
    <x v="3"/>
    <n v="138496"/>
    <n v="88244.33"/>
    <n v="50251.67"/>
    <n v="36.28"/>
    <x v="2"/>
  </r>
  <r>
    <n v="1065"/>
    <s v="21-Jan-2024"/>
    <x v="8"/>
    <x v="1"/>
    <x v="2"/>
    <x v="2"/>
    <s v="Office Chair"/>
    <n v="113"/>
    <n v="4525"/>
    <n v="511325"/>
    <x v="4"/>
    <n v="460192.5"/>
    <n v="307113.13"/>
    <n v="153079.37"/>
    <n v="33.26"/>
    <x v="0"/>
  </r>
  <r>
    <n v="1037"/>
    <s v="21-Jan-2024"/>
    <x v="8"/>
    <x v="1"/>
    <x v="0"/>
    <x v="2"/>
    <s v="Dining Table"/>
    <n v="57"/>
    <n v="11921"/>
    <n v="679497"/>
    <x v="3"/>
    <n v="679497"/>
    <n v="442355.73"/>
    <n v="237141.27"/>
    <n v="34.9"/>
    <x v="1"/>
  </r>
  <r>
    <n v="2120"/>
    <s v="15-Dec-2024"/>
    <x v="4"/>
    <x v="2"/>
    <x v="1"/>
    <x v="0"/>
    <s v="Condiments"/>
    <n v="122"/>
    <n v="94"/>
    <n v="11468"/>
    <x v="4"/>
    <n v="10321.200000000001"/>
    <n v="6032.84"/>
    <n v="4288.3599999999997"/>
    <n v="41.55"/>
    <x v="1"/>
  </r>
  <r>
    <n v="2108"/>
    <s v="15-Dec-2024"/>
    <x v="4"/>
    <x v="2"/>
    <x v="1"/>
    <x v="3"/>
    <s v="Jackets"/>
    <n v="221"/>
    <n v="1832"/>
    <n v="404872"/>
    <x v="3"/>
    <n v="404872"/>
    <n v="233575.49"/>
    <n v="171296.51"/>
    <n v="42.31"/>
    <x v="1"/>
  </r>
  <r>
    <n v="1704"/>
    <s v="23-Aug-2024"/>
    <x v="2"/>
    <x v="0"/>
    <x v="1"/>
    <x v="1"/>
    <s v="Headphones"/>
    <n v="143"/>
    <n v="727"/>
    <n v="103961"/>
    <x v="3"/>
    <n v="103961"/>
    <n v="69219.5"/>
    <n v="34741.5"/>
    <n v="33.42"/>
    <x v="2"/>
  </r>
  <r>
    <n v="2111"/>
    <s v="15-Dec-2024"/>
    <x v="4"/>
    <x v="2"/>
    <x v="1"/>
    <x v="2"/>
    <s v="Sofa"/>
    <n v="84"/>
    <n v="16828"/>
    <n v="1413552"/>
    <x v="3"/>
    <n v="1413552"/>
    <n v="903882.82"/>
    <n v="509669.18"/>
    <n v="36.06"/>
    <x v="2"/>
  </r>
  <r>
    <n v="1536"/>
    <s v="07-Jun-2024"/>
    <x v="11"/>
    <x v="3"/>
    <x v="0"/>
    <x v="2"/>
    <s v="Sofa"/>
    <n v="70"/>
    <n v="17118"/>
    <n v="1198260"/>
    <x v="3"/>
    <n v="1198260"/>
    <n v="819777.91"/>
    <n v="378482.09"/>
    <n v="31.59"/>
    <x v="1"/>
  </r>
  <r>
    <n v="2034"/>
    <s v="03-Nov-2024"/>
    <x v="10"/>
    <x v="2"/>
    <x v="0"/>
    <x v="3"/>
    <s v="Dresses"/>
    <n v="42"/>
    <n v="1595"/>
    <n v="66990"/>
    <x v="3"/>
    <n v="66990"/>
    <n v="44452"/>
    <n v="22538"/>
    <n v="33.64"/>
    <x v="7"/>
  </r>
  <r>
    <n v="2005"/>
    <s v="03-Nov-2024"/>
    <x v="10"/>
    <x v="2"/>
    <x v="1"/>
    <x v="1"/>
    <s v="Smart TV"/>
    <n v="74"/>
    <n v="14407"/>
    <n v="1066118"/>
    <x v="3"/>
    <n v="1066118"/>
    <n v="646208.61"/>
    <n v="419909.39"/>
    <n v="39.39"/>
    <x v="4"/>
  </r>
  <r>
    <n v="2020"/>
    <s v="03-Nov-2024"/>
    <x v="10"/>
    <x v="2"/>
    <x v="1"/>
    <x v="0"/>
    <s v="Condiments"/>
    <n v="144"/>
    <n v="83"/>
    <n v="11952"/>
    <x v="2"/>
    <n v="9561.6"/>
    <n v="5398.38"/>
    <n v="4163.22"/>
    <n v="43.54"/>
    <x v="6"/>
  </r>
  <r>
    <n v="1602"/>
    <s v="23-Jul-2024"/>
    <x v="0"/>
    <x v="0"/>
    <x v="1"/>
    <x v="1"/>
    <s v="Smartphone"/>
    <n v="64"/>
    <n v="7279"/>
    <n v="465856"/>
    <x v="2"/>
    <n v="372684.79999999999"/>
    <n v="213562.74"/>
    <n v="159122.06"/>
    <n v="42.7"/>
    <x v="3"/>
  </r>
  <r>
    <n v="1414"/>
    <s v="26-May-2024"/>
    <x v="6"/>
    <x v="3"/>
    <x v="1"/>
    <x v="2"/>
    <s v="Bed Frame"/>
    <n v="134"/>
    <n v="9032"/>
    <n v="1210288"/>
    <x v="1"/>
    <n v="1028744.8"/>
    <n v="611361.27"/>
    <n v="417383.53"/>
    <n v="40.57"/>
    <x v="5"/>
  </r>
  <r>
    <n v="1955"/>
    <s v="27-Oct-2024"/>
    <x v="3"/>
    <x v="2"/>
    <x v="2"/>
    <x v="1"/>
    <s v="Smart TV"/>
    <n v="124"/>
    <n v="15337"/>
    <n v="1901788"/>
    <x v="0"/>
    <n v="1806698.6"/>
    <n v="1056262.5900000001"/>
    <n v="750436.01"/>
    <n v="41.54"/>
    <x v="4"/>
  </r>
  <r>
    <n v="2009"/>
    <s v="03-Nov-2024"/>
    <x v="10"/>
    <x v="2"/>
    <x v="1"/>
    <x v="3"/>
    <s v="Dresses"/>
    <n v="71"/>
    <n v="1361"/>
    <n v="96631"/>
    <x v="1"/>
    <n v="82136.350000000006"/>
    <n v="53967.82"/>
    <n v="28168.53"/>
    <n v="34.29"/>
    <x v="1"/>
  </r>
  <r>
    <n v="2065"/>
    <s v="03-Nov-2024"/>
    <x v="10"/>
    <x v="2"/>
    <x v="2"/>
    <x v="2"/>
    <s v="Office Chair"/>
    <n v="173"/>
    <n v="4616"/>
    <n v="798568"/>
    <x v="3"/>
    <n v="798568"/>
    <n v="494794.52"/>
    <n v="303773.48"/>
    <n v="38.04"/>
    <x v="2"/>
  </r>
  <r>
    <n v="1157"/>
    <s v="13-Feb-2024"/>
    <x v="1"/>
    <x v="1"/>
    <x v="2"/>
    <x v="3"/>
    <s v="Jeans"/>
    <n v="70"/>
    <n v="1115"/>
    <n v="78050"/>
    <x v="0"/>
    <n v="74147.5"/>
    <n v="51034.26"/>
    <n v="23113.24"/>
    <n v="31.17"/>
    <x v="7"/>
  </r>
  <r>
    <n v="1621"/>
    <s v="23-Jul-2024"/>
    <x v="0"/>
    <x v="0"/>
    <x v="1"/>
    <x v="4"/>
    <s v="Cricket Bat"/>
    <n v="91"/>
    <n v="1228"/>
    <n v="111748"/>
    <x v="1"/>
    <n v="94985.8"/>
    <n v="52794.76"/>
    <n v="42191.040000000001"/>
    <n v="44.42"/>
    <x v="3"/>
  </r>
  <r>
    <n v="1313"/>
    <s v="08-Apr-2024"/>
    <x v="7"/>
    <x v="3"/>
    <x v="1"/>
    <x v="2"/>
    <s v="Wardrobe"/>
    <n v="97"/>
    <n v="14754"/>
    <n v="1431138"/>
    <x v="3"/>
    <n v="1431138"/>
    <n v="814029.89"/>
    <n v="617108.11"/>
    <n v="43.12"/>
    <x v="3"/>
  </r>
  <r>
    <n v="1670"/>
    <s v="23-Jul-2024"/>
    <x v="0"/>
    <x v="0"/>
    <x v="2"/>
    <x v="0"/>
    <s v="Condiments"/>
    <n v="128"/>
    <n v="86"/>
    <n v="11008"/>
    <x v="3"/>
    <n v="11008"/>
    <n v="6745.97"/>
    <n v="4262.03"/>
    <n v="38.72"/>
    <x v="1"/>
  </r>
  <r>
    <n v="1784"/>
    <s v="23-Aug-2024"/>
    <x v="2"/>
    <x v="0"/>
    <x v="3"/>
    <x v="3"/>
    <s v="Dresses"/>
    <n v="53"/>
    <n v="1473"/>
    <n v="78069"/>
    <x v="3"/>
    <n v="78069"/>
    <n v="52243.18"/>
    <n v="25825.82"/>
    <n v="33.08"/>
    <x v="7"/>
  </r>
  <r>
    <n v="1367"/>
    <s v="08-Apr-2024"/>
    <x v="7"/>
    <x v="3"/>
    <x v="2"/>
    <x v="0"/>
    <s v="Beverages"/>
    <n v="142"/>
    <n v="74"/>
    <n v="10508"/>
    <x v="2"/>
    <n v="8406.4"/>
    <n v="4967.5600000000004"/>
    <n v="3438.84"/>
    <n v="40.909999999999997"/>
    <x v="1"/>
  </r>
  <r>
    <n v="1055"/>
    <s v="21-Jan-2024"/>
    <x v="8"/>
    <x v="1"/>
    <x v="2"/>
    <x v="1"/>
    <s v="Smart TV"/>
    <n v="45"/>
    <n v="16169"/>
    <n v="727605"/>
    <x v="3"/>
    <n v="727605"/>
    <n v="429907.04"/>
    <n v="297697.96000000002"/>
    <n v="40.909999999999997"/>
    <x v="5"/>
  </r>
  <r>
    <n v="2021"/>
    <s v="03-Nov-2024"/>
    <x v="10"/>
    <x v="2"/>
    <x v="1"/>
    <x v="4"/>
    <s v="Cricket Bat"/>
    <n v="167"/>
    <n v="1250"/>
    <n v="208750"/>
    <x v="2"/>
    <n v="167000"/>
    <n v="103637.17"/>
    <n v="63362.83"/>
    <n v="37.94"/>
    <x v="5"/>
  </r>
  <r>
    <n v="1140"/>
    <s v="13-Feb-2024"/>
    <x v="1"/>
    <x v="1"/>
    <x v="0"/>
    <x v="2"/>
    <s v="Office Chair"/>
    <n v="23"/>
    <n v="4666"/>
    <n v="107318"/>
    <x v="0"/>
    <n v="101952.1"/>
    <n v="65173.55"/>
    <n v="36778.550000000003"/>
    <n v="36.07"/>
    <x v="6"/>
  </r>
  <r>
    <n v="1109"/>
    <s v="13-Feb-2024"/>
    <x v="1"/>
    <x v="1"/>
    <x v="1"/>
    <x v="3"/>
    <s v="Dresses"/>
    <n v="66"/>
    <n v="1565"/>
    <n v="103290"/>
    <x v="3"/>
    <n v="103290"/>
    <n v="65983.17"/>
    <n v="37306.83"/>
    <n v="36.119999999999997"/>
    <x v="5"/>
  </r>
  <r>
    <n v="1204"/>
    <s v="08-Mar-2024"/>
    <x v="5"/>
    <x v="1"/>
    <x v="1"/>
    <x v="1"/>
    <s v="Headphones"/>
    <n v="146"/>
    <n v="806"/>
    <n v="117676"/>
    <x v="3"/>
    <n v="117676"/>
    <n v="66662.149999999994"/>
    <n v="51013.85"/>
    <n v="43.35"/>
    <x v="4"/>
  </r>
  <r>
    <n v="1061"/>
    <s v="21-Jan-2024"/>
    <x v="8"/>
    <x v="1"/>
    <x v="2"/>
    <x v="2"/>
    <s v="Sofa"/>
    <n v="80"/>
    <n v="16733"/>
    <n v="1338640"/>
    <x v="3"/>
    <n v="1338640"/>
    <n v="744651.07"/>
    <n v="593988.93000000005"/>
    <n v="44.37"/>
    <x v="3"/>
  </r>
  <r>
    <n v="1276"/>
    <s v="08-Mar-2024"/>
    <x v="5"/>
    <x v="1"/>
    <x v="3"/>
    <x v="1"/>
    <s v="Laptop"/>
    <n v="70"/>
    <n v="10813"/>
    <n v="756910"/>
    <x v="3"/>
    <n v="756910"/>
    <n v="418458.13"/>
    <n v="338451.87"/>
    <n v="44.71"/>
    <x v="5"/>
  </r>
  <r>
    <n v="1473"/>
    <s v="26-May-2024"/>
    <x v="6"/>
    <x v="3"/>
    <x v="2"/>
    <x v="4"/>
    <s v="Yoga Mat"/>
    <n v="61"/>
    <n v="833"/>
    <n v="50813"/>
    <x v="3"/>
    <n v="50813"/>
    <n v="32347.67"/>
    <n v="18465.330000000002"/>
    <n v="36.340000000000003"/>
    <x v="7"/>
  </r>
  <r>
    <n v="2019"/>
    <s v="03-Nov-2024"/>
    <x v="10"/>
    <x v="2"/>
    <x v="1"/>
    <x v="0"/>
    <s v="Frozen Foods"/>
    <n v="97"/>
    <n v="141"/>
    <n v="13677"/>
    <x v="3"/>
    <n v="13677"/>
    <n v="9519.91"/>
    <n v="4157.09"/>
    <n v="30.39"/>
    <x v="2"/>
  </r>
  <r>
    <n v="2003"/>
    <s v="03-Nov-2024"/>
    <x v="10"/>
    <x v="2"/>
    <x v="1"/>
    <x v="1"/>
    <s v="Tablet"/>
    <n v="203"/>
    <n v="5252"/>
    <n v="1066156"/>
    <x v="4"/>
    <n v="959540.4"/>
    <n v="629915.25"/>
    <n v="329625.15000000002"/>
    <n v="34.35"/>
    <x v="6"/>
  </r>
  <r>
    <n v="1514"/>
    <s v="07-Jun-2024"/>
    <x v="11"/>
    <x v="3"/>
    <x v="1"/>
    <x v="2"/>
    <s v="Bed Frame"/>
    <n v="168"/>
    <n v="10232"/>
    <n v="1718976"/>
    <x v="2"/>
    <n v="1375180.8"/>
    <n v="933740.03"/>
    <n v="441440.77"/>
    <n v="32.1"/>
    <x v="1"/>
  </r>
  <r>
    <n v="1251"/>
    <s v="08-Mar-2024"/>
    <x v="5"/>
    <x v="1"/>
    <x v="2"/>
    <x v="1"/>
    <s v="Laptop"/>
    <n v="31"/>
    <n v="12958"/>
    <n v="401698"/>
    <x v="4"/>
    <n v="361528.2"/>
    <n v="252114.52"/>
    <n v="109413.68"/>
    <n v="30.26"/>
    <x v="1"/>
  </r>
  <r>
    <n v="1222"/>
    <s v="08-Mar-2024"/>
    <x v="5"/>
    <x v="1"/>
    <x v="1"/>
    <x v="4"/>
    <s v="Football"/>
    <n v="34"/>
    <n v="573"/>
    <n v="19482"/>
    <x v="0"/>
    <n v="18507.900000000001"/>
    <n v="12420.34"/>
    <n v="6087.56"/>
    <n v="32.89"/>
    <x v="4"/>
  </r>
  <r>
    <n v="1932"/>
    <s v="27-Oct-2024"/>
    <x v="3"/>
    <x v="2"/>
    <x v="0"/>
    <x v="3"/>
    <s v="Jeans"/>
    <n v="58"/>
    <n v="1229"/>
    <n v="71282"/>
    <x v="3"/>
    <n v="71282"/>
    <n v="48494.06"/>
    <n v="22787.94"/>
    <n v="31.97"/>
    <x v="6"/>
  </r>
  <r>
    <n v="1302"/>
    <s v="08-Apr-2024"/>
    <x v="7"/>
    <x v="3"/>
    <x v="1"/>
    <x v="1"/>
    <s v="Smartphone"/>
    <n v="108"/>
    <n v="8286"/>
    <n v="894888"/>
    <x v="4"/>
    <n v="805399.2"/>
    <n v="487912.45"/>
    <n v="317486.75"/>
    <n v="39.42"/>
    <x v="1"/>
  </r>
  <r>
    <n v="1572"/>
    <s v="07-Jun-2024"/>
    <x v="11"/>
    <x v="3"/>
    <x v="2"/>
    <x v="4"/>
    <s v="Football"/>
    <n v="74"/>
    <n v="608"/>
    <n v="44992"/>
    <x v="4"/>
    <n v="40492.800000000003"/>
    <n v="24630.04"/>
    <n v="15862.76"/>
    <n v="39.17"/>
    <x v="7"/>
  </r>
  <r>
    <n v="2048"/>
    <s v="03-Nov-2024"/>
    <x v="10"/>
    <x v="2"/>
    <x v="0"/>
    <x v="4"/>
    <s v="Yoga Mat"/>
    <n v="173"/>
    <n v="758"/>
    <n v="131134"/>
    <x v="0"/>
    <n v="124577.3"/>
    <n v="76194.67"/>
    <n v="48382.63"/>
    <n v="38.840000000000003"/>
    <x v="3"/>
  </r>
  <r>
    <n v="1993"/>
    <s v="27-Oct-2024"/>
    <x v="3"/>
    <x v="2"/>
    <x v="3"/>
    <x v="0"/>
    <s v="Dairy Products"/>
    <n v="88"/>
    <n v="116"/>
    <n v="10208"/>
    <x v="0"/>
    <n v="9697.6"/>
    <n v="5350.11"/>
    <n v="4347.49"/>
    <n v="44.83"/>
    <x v="5"/>
  </r>
  <r>
    <n v="1829"/>
    <s v="26-Sep-2024"/>
    <x v="9"/>
    <x v="0"/>
    <x v="0"/>
    <x v="1"/>
    <s v="Headphones"/>
    <n v="110"/>
    <n v="794"/>
    <n v="87340"/>
    <x v="3"/>
    <n v="87340"/>
    <n v="48191.85"/>
    <n v="39148.15"/>
    <n v="44.82"/>
    <x v="5"/>
  </r>
  <r>
    <n v="1975"/>
    <s v="27-Oct-2024"/>
    <x v="3"/>
    <x v="2"/>
    <x v="2"/>
    <x v="4"/>
    <s v="Cycling Gear"/>
    <n v="144"/>
    <n v="3823"/>
    <n v="550512"/>
    <x v="0"/>
    <n v="522986.4"/>
    <n v="336786.47"/>
    <n v="186199.93"/>
    <n v="35.6"/>
    <x v="1"/>
  </r>
  <r>
    <n v="1730"/>
    <s v="23-Aug-2024"/>
    <x v="2"/>
    <x v="0"/>
    <x v="0"/>
    <x v="1"/>
    <s v="Smart TV"/>
    <n v="127"/>
    <n v="13978"/>
    <n v="1775206"/>
    <x v="1"/>
    <n v="1508925.1"/>
    <n v="850719.65"/>
    <n v="658205.44999999995"/>
    <n v="43.62"/>
    <x v="5"/>
  </r>
  <r>
    <n v="1820"/>
    <s v="26-Sep-2024"/>
    <x v="9"/>
    <x v="0"/>
    <x v="1"/>
    <x v="0"/>
    <s v="Condiments"/>
    <n v="82"/>
    <n v="94"/>
    <n v="7708"/>
    <x v="4"/>
    <n v="6937.2"/>
    <n v="3894.57"/>
    <n v="3042.63"/>
    <n v="43.86"/>
    <x v="7"/>
  </r>
  <r>
    <n v="1560"/>
    <s v="07-Jun-2024"/>
    <x v="11"/>
    <x v="3"/>
    <x v="2"/>
    <x v="3"/>
    <s v="Shoes"/>
    <n v="151"/>
    <n v="1820"/>
    <n v="274820"/>
    <x v="0"/>
    <n v="261079"/>
    <n v="147303.07"/>
    <n v="113775.93"/>
    <n v="43.58"/>
    <x v="1"/>
  </r>
  <r>
    <n v="2192"/>
    <s v="15-Dec-2024"/>
    <x v="4"/>
    <x v="2"/>
    <x v="3"/>
    <x v="0"/>
    <s v="Beverages"/>
    <n v="102"/>
    <n v="80"/>
    <n v="8160"/>
    <x v="4"/>
    <n v="7344"/>
    <n v="5053.67"/>
    <n v="2290.33"/>
    <n v="31.19"/>
    <x v="7"/>
  </r>
  <r>
    <n v="1571"/>
    <s v="07-Jun-2024"/>
    <x v="11"/>
    <x v="3"/>
    <x v="2"/>
    <x v="4"/>
    <s v="Cricket Bat"/>
    <n v="171"/>
    <n v="1268"/>
    <n v="216828"/>
    <x v="4"/>
    <n v="195145.2"/>
    <n v="121371.08"/>
    <n v="73774.12"/>
    <n v="37.799999999999997"/>
    <x v="2"/>
  </r>
  <r>
    <n v="2023"/>
    <s v="03-Nov-2024"/>
    <x v="10"/>
    <x v="2"/>
    <x v="1"/>
    <x v="4"/>
    <s v="Yoga Mat"/>
    <n v="67"/>
    <n v="867"/>
    <n v="58089"/>
    <x v="4"/>
    <n v="52280.1"/>
    <n v="34939.67"/>
    <n v="17340.43"/>
    <n v="33.17"/>
    <x v="3"/>
  </r>
  <r>
    <n v="1870"/>
    <s v="26-Sep-2024"/>
    <x v="9"/>
    <x v="0"/>
    <x v="2"/>
    <x v="0"/>
    <s v="Condiments"/>
    <n v="126"/>
    <n v="85"/>
    <n v="10710"/>
    <x v="3"/>
    <n v="10710"/>
    <n v="5914.16"/>
    <n v="4795.84"/>
    <n v="44.78"/>
    <x v="5"/>
  </r>
  <r>
    <n v="1477"/>
    <s v="26-May-2024"/>
    <x v="6"/>
    <x v="3"/>
    <x v="3"/>
    <x v="1"/>
    <s v="Smartphone"/>
    <n v="146"/>
    <n v="8144"/>
    <n v="1189024"/>
    <x v="3"/>
    <n v="1189024"/>
    <n v="709821.01"/>
    <n v="479202.99"/>
    <n v="40.299999999999997"/>
    <x v="5"/>
  </r>
  <r>
    <n v="1252"/>
    <s v="08-Mar-2024"/>
    <x v="5"/>
    <x v="1"/>
    <x v="2"/>
    <x v="1"/>
    <s v="Smartphone"/>
    <n v="80"/>
    <n v="7476"/>
    <n v="598080"/>
    <x v="0"/>
    <n v="568176"/>
    <n v="372804.85"/>
    <n v="195371.15"/>
    <n v="34.39"/>
    <x v="2"/>
  </r>
  <r>
    <n v="1828"/>
    <s v="26-Sep-2024"/>
    <x v="9"/>
    <x v="0"/>
    <x v="0"/>
    <x v="1"/>
    <s v="Tablet"/>
    <n v="85"/>
    <n v="4894"/>
    <n v="415990"/>
    <x v="3"/>
    <n v="415990"/>
    <n v="257322.85"/>
    <n v="158667.15"/>
    <n v="38.14"/>
    <x v="1"/>
  </r>
  <r>
    <n v="1411"/>
    <s v="26-May-2024"/>
    <x v="6"/>
    <x v="3"/>
    <x v="1"/>
    <x v="2"/>
    <s v="Sofa"/>
    <n v="93"/>
    <n v="18535"/>
    <n v="1723755"/>
    <x v="0"/>
    <n v="1637567.25"/>
    <n v="964910.7"/>
    <n v="672656.55"/>
    <n v="41.08"/>
    <x v="2"/>
  </r>
  <r>
    <n v="1694"/>
    <s v="23-Jul-2024"/>
    <x v="0"/>
    <x v="0"/>
    <x v="3"/>
    <x v="0"/>
    <s v="Frozen Foods"/>
    <n v="34"/>
    <n v="148"/>
    <n v="5032"/>
    <x v="2"/>
    <n v="4025.6"/>
    <n v="2267.23"/>
    <n v="1758.37"/>
    <n v="43.68"/>
    <x v="2"/>
  </r>
  <r>
    <n v="1408"/>
    <s v="26-May-2024"/>
    <x v="6"/>
    <x v="3"/>
    <x v="1"/>
    <x v="3"/>
    <s v="Jackets"/>
    <n v="68"/>
    <n v="2164"/>
    <n v="147152"/>
    <x v="0"/>
    <n v="139794.4"/>
    <n v="96538.37"/>
    <n v="43256.03"/>
    <n v="30.94"/>
    <x v="1"/>
  </r>
  <r>
    <n v="1745"/>
    <s v="23-Aug-2024"/>
    <x v="2"/>
    <x v="0"/>
    <x v="0"/>
    <x v="0"/>
    <s v="Condiments"/>
    <n v="60"/>
    <n v="93"/>
    <n v="5580"/>
    <x v="3"/>
    <n v="5580"/>
    <n v="3304.63"/>
    <n v="2275.37"/>
    <n v="40.78"/>
    <x v="2"/>
  </r>
  <r>
    <n v="1133"/>
    <s v="13-Feb-2024"/>
    <x v="1"/>
    <x v="1"/>
    <x v="0"/>
    <x v="3"/>
    <s v="Jackets"/>
    <n v="97"/>
    <n v="1952"/>
    <n v="189344"/>
    <x v="2"/>
    <n v="151475.20000000001"/>
    <n v="90067.6"/>
    <n v="61407.6"/>
    <n v="40.54"/>
    <x v="0"/>
  </r>
  <r>
    <n v="1346"/>
    <s v="08-Apr-2024"/>
    <x v="7"/>
    <x v="3"/>
    <x v="0"/>
    <x v="4"/>
    <s v="Cricket Bat"/>
    <n v="22"/>
    <n v="1308"/>
    <n v="28776"/>
    <x v="3"/>
    <n v="28776"/>
    <n v="16650.3"/>
    <n v="12125.7"/>
    <n v="42.14"/>
    <x v="2"/>
  </r>
  <r>
    <n v="1209"/>
    <s v="08-Mar-2024"/>
    <x v="5"/>
    <x v="1"/>
    <x v="1"/>
    <x v="3"/>
    <s v="Dresses"/>
    <n v="27"/>
    <n v="1494"/>
    <n v="40338"/>
    <x v="1"/>
    <n v="34287.300000000003"/>
    <n v="21050.38"/>
    <n v="13236.92"/>
    <n v="38.61"/>
    <x v="1"/>
  </r>
  <r>
    <n v="1821"/>
    <s v="26-Sep-2024"/>
    <x v="9"/>
    <x v="0"/>
    <x v="1"/>
    <x v="4"/>
    <s v="Cricket Bat"/>
    <n v="94"/>
    <n v="1165"/>
    <n v="109510"/>
    <x v="0"/>
    <n v="104034.5"/>
    <n v="60071.360000000001"/>
    <n v="43963.14"/>
    <n v="42.26"/>
    <x v="5"/>
  </r>
  <r>
    <n v="1809"/>
    <s v="26-Sep-2024"/>
    <x v="9"/>
    <x v="0"/>
    <x v="1"/>
    <x v="3"/>
    <s v="Dresses"/>
    <n v="169"/>
    <n v="1376"/>
    <n v="232544"/>
    <x v="0"/>
    <n v="220916.8"/>
    <n v="147340.67000000001"/>
    <n v="73576.13"/>
    <n v="33.299999999999997"/>
    <x v="3"/>
  </r>
  <r>
    <n v="1294"/>
    <s v="08-Mar-2024"/>
    <x v="5"/>
    <x v="1"/>
    <x v="3"/>
    <x v="0"/>
    <s v="Frozen Foods"/>
    <n v="60"/>
    <n v="159"/>
    <n v="9540"/>
    <x v="0"/>
    <n v="9063"/>
    <n v="6073.77"/>
    <n v="2989.23"/>
    <n v="32.979999999999997"/>
    <x v="0"/>
  </r>
  <r>
    <n v="1245"/>
    <s v="08-Mar-2024"/>
    <x v="5"/>
    <x v="1"/>
    <x v="0"/>
    <x v="0"/>
    <s v="Condiments"/>
    <n v="113"/>
    <n v="92"/>
    <n v="10396"/>
    <x v="3"/>
    <n v="10396"/>
    <n v="6403.57"/>
    <n v="3992.43"/>
    <n v="38.4"/>
    <x v="2"/>
  </r>
  <r>
    <n v="1175"/>
    <s v="13-Feb-2024"/>
    <x v="1"/>
    <x v="1"/>
    <x v="2"/>
    <x v="4"/>
    <s v="Cycling Gear"/>
    <n v="71"/>
    <n v="3617"/>
    <n v="256807"/>
    <x v="2"/>
    <n v="205445.6"/>
    <n v="140767.51"/>
    <n v="64678.09"/>
    <n v="31.48"/>
    <x v="7"/>
  </r>
  <r>
    <n v="2071"/>
    <s v="03-Nov-2024"/>
    <x v="10"/>
    <x v="2"/>
    <x v="2"/>
    <x v="4"/>
    <s v="Cricket Bat"/>
    <n v="169"/>
    <n v="1221"/>
    <n v="206349"/>
    <x v="0"/>
    <n v="196031.55"/>
    <n v="123106.41"/>
    <n v="72925.14"/>
    <n v="37.200000000000003"/>
    <x v="7"/>
  </r>
  <r>
    <n v="1898"/>
    <s v="26-Sep-2024"/>
    <x v="9"/>
    <x v="0"/>
    <x v="3"/>
    <x v="4"/>
    <s v="Yoga Mat"/>
    <n v="27"/>
    <n v="755"/>
    <n v="20385"/>
    <x v="3"/>
    <n v="20385"/>
    <n v="11251.76"/>
    <n v="9133.24"/>
    <n v="44.8"/>
    <x v="5"/>
  </r>
  <r>
    <n v="1812"/>
    <s v="26-Sep-2024"/>
    <x v="9"/>
    <x v="0"/>
    <x v="1"/>
    <x v="2"/>
    <s v="Dining Table"/>
    <n v="57"/>
    <n v="13111"/>
    <n v="747327"/>
    <x v="2"/>
    <n v="597861.6"/>
    <n v="412199.91"/>
    <n v="185661.69"/>
    <n v="31.05"/>
    <x v="4"/>
  </r>
  <r>
    <n v="1216"/>
    <s v="08-Mar-2024"/>
    <x v="5"/>
    <x v="1"/>
    <x v="1"/>
    <x v="0"/>
    <s v="Organic Snacks"/>
    <n v="108"/>
    <n v="199"/>
    <n v="21492"/>
    <x v="3"/>
    <n v="21492"/>
    <n v="14502.07"/>
    <n v="6989.93"/>
    <n v="32.520000000000003"/>
    <x v="1"/>
  </r>
  <r>
    <n v="2007"/>
    <s v="03-Nov-2024"/>
    <x v="10"/>
    <x v="2"/>
    <x v="1"/>
    <x v="3"/>
    <s v="Jeans"/>
    <n v="211"/>
    <n v="1117"/>
    <n v="235687"/>
    <x v="4"/>
    <n v="212118.3"/>
    <n v="146053.1"/>
    <n v="66065.2"/>
    <n v="31.15"/>
    <x v="6"/>
  </r>
  <r>
    <n v="1027"/>
    <s v="21-Jan-2024"/>
    <x v="8"/>
    <x v="1"/>
    <x v="0"/>
    <x v="1"/>
    <s v="Smartphone"/>
    <n v="17"/>
    <n v="8687"/>
    <n v="147679"/>
    <x v="0"/>
    <n v="140295.04999999999"/>
    <n v="82201.37"/>
    <n v="58093.68"/>
    <n v="41.41"/>
    <x v="5"/>
  </r>
  <r>
    <n v="1368"/>
    <s v="08-Apr-2024"/>
    <x v="7"/>
    <x v="3"/>
    <x v="2"/>
    <x v="0"/>
    <s v="Dairy Products"/>
    <n v="66"/>
    <n v="126"/>
    <n v="8316"/>
    <x v="0"/>
    <n v="7900.2"/>
    <n v="5196.67"/>
    <n v="2703.53"/>
    <n v="34.22"/>
    <x v="4"/>
  </r>
  <r>
    <n v="1753"/>
    <s v="23-Aug-2024"/>
    <x v="2"/>
    <x v="0"/>
    <x v="2"/>
    <x v="1"/>
    <s v="Tablet"/>
    <n v="150"/>
    <n v="5432"/>
    <n v="814800"/>
    <x v="2"/>
    <n v="651840"/>
    <n v="421545.7"/>
    <n v="230294.3"/>
    <n v="35.3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8D89D1-DCC9-4500-81FC-A1A0B3664D5D}" name="PivotTable1" cacheId="0"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3:C16" firstHeaderRow="0" firstDataRow="1" firstDataCol="1"/>
  <pivotFields count="16">
    <pivotField showAll="0"/>
    <pivotField showAll="0"/>
    <pivotField axis="axisRow" showAll="0">
      <items count="13">
        <item x="8"/>
        <item x="1"/>
        <item x="5"/>
        <item x="7"/>
        <item x="6"/>
        <item x="11"/>
        <item x="0"/>
        <item x="2"/>
        <item x="9"/>
        <item x="3"/>
        <item x="10"/>
        <item x="4"/>
        <item t="default"/>
      </items>
    </pivotField>
    <pivotField showAll="0">
      <items count="5">
        <item x="1"/>
        <item x="3"/>
        <item x="0"/>
        <item x="2"/>
        <item t="default"/>
      </items>
    </pivotField>
    <pivotField showAll="0">
      <items count="5">
        <item x="2"/>
        <item x="1"/>
        <item x="0"/>
        <item x="3"/>
        <item t="default"/>
      </items>
    </pivotField>
    <pivotField showAll="0">
      <items count="6">
        <item x="3"/>
        <item x="1"/>
        <item x="0"/>
        <item x="2"/>
        <item x="4"/>
        <item t="default"/>
      </items>
    </pivotField>
    <pivotField showAll="0"/>
    <pivotField showAll="0"/>
    <pivotField numFmtId="4" showAll="0"/>
    <pivotField numFmtId="4" showAll="0"/>
    <pivotField showAll="0"/>
    <pivotField dataField="1" numFmtId="4" showAll="0"/>
    <pivotField numFmtId="4" showAll="0"/>
    <pivotField dataField="1" numFmtId="4" showAll="0"/>
    <pivotField numFmtId="2" showAll="0"/>
    <pivotField showAll="0"/>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Net_Sales_INR" fld="11" baseField="0" baseItem="0" numFmtId="4"/>
    <dataField name="Sum of Profit_INR" fld="13" baseField="0" baseItem="0" numFmtId="4"/>
  </dataFields>
  <pivotTableStyleInfo name="PivotStyleMedium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E25280-BA36-42D6-AD95-32295FC9605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0" firstDataRow="1" firstDataCol="1"/>
  <pivotFields count="16">
    <pivotField showAll="0"/>
    <pivotField showAll="0"/>
    <pivotField showAll="0"/>
    <pivotField showAll="0">
      <items count="5">
        <item x="1"/>
        <item x="3"/>
        <item x="0"/>
        <item x="2"/>
        <item t="default"/>
      </items>
    </pivotField>
    <pivotField axis="axisRow" showAll="0">
      <items count="5">
        <item x="2"/>
        <item x="1"/>
        <item x="0"/>
        <item x="3"/>
        <item t="default"/>
      </items>
    </pivotField>
    <pivotField showAll="0">
      <items count="6">
        <item x="3"/>
        <item x="1"/>
        <item x="0"/>
        <item x="2"/>
        <item x="4"/>
        <item t="default"/>
      </items>
    </pivotField>
    <pivotField showAll="0"/>
    <pivotField showAll="0"/>
    <pivotField numFmtId="4" showAll="0"/>
    <pivotField numFmtId="4" showAll="0"/>
    <pivotField showAll="0"/>
    <pivotField dataField="1" numFmtId="4" showAll="0"/>
    <pivotField numFmtId="4" showAll="0"/>
    <pivotField dataField="1" numFmtId="4" showAll="0"/>
    <pivotField dataField="1" numFmtId="2" showAll="0"/>
    <pivotField showAll="0"/>
  </pivotFields>
  <rowFields count="1">
    <field x="4"/>
  </rowFields>
  <rowItems count="5">
    <i>
      <x/>
    </i>
    <i>
      <x v="1"/>
    </i>
    <i>
      <x v="2"/>
    </i>
    <i>
      <x v="3"/>
    </i>
    <i t="grand">
      <x/>
    </i>
  </rowItems>
  <colFields count="1">
    <field x="-2"/>
  </colFields>
  <colItems count="3">
    <i>
      <x/>
    </i>
    <i i="1">
      <x v="1"/>
    </i>
    <i i="2">
      <x v="2"/>
    </i>
  </colItems>
  <dataFields count="3">
    <dataField name="Sum of Net_Sales_INR" fld="11" baseField="0" baseItem="0" numFmtId="4"/>
    <dataField name="Sum of Profit_INR" fld="13" baseField="0" baseItem="0" numFmtId="4"/>
    <dataField name="Average of Profit_Margin_Pct" fld="14" subtotal="average" baseField="4" baseItem="0" numFmtId="2"/>
  </dataFields>
  <pivotTableStyleInfo name="PivotStyleMedium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99471E-7580-482F-A4C8-02EF3A71CBE0}" name="Quarter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5:G30" firstHeaderRow="0" firstDataRow="1" firstDataCol="1"/>
  <pivotFields count="16">
    <pivotField showAll="0"/>
    <pivotField showAll="0"/>
    <pivotField showAll="0"/>
    <pivotField axis="axisRow" showAll="0">
      <items count="5">
        <item x="1"/>
        <item x="3"/>
        <item x="0"/>
        <item x="2"/>
        <item t="default"/>
      </items>
    </pivotField>
    <pivotField showAll="0"/>
    <pivotField showAll="0"/>
    <pivotField showAll="0"/>
    <pivotField showAll="0"/>
    <pivotField numFmtId="4" showAll="0"/>
    <pivotField numFmtId="4" showAll="0"/>
    <pivotField showAll="0"/>
    <pivotField dataField="1" numFmtId="4" showAll="0"/>
    <pivotField numFmtId="4" showAll="0"/>
    <pivotField dataField="1" numFmtId="4" showAll="0"/>
    <pivotField numFmtId="2" showAll="0"/>
    <pivotField showAll="0"/>
  </pivotFields>
  <rowFields count="1">
    <field x="3"/>
  </rowFields>
  <rowItems count="5">
    <i>
      <x/>
    </i>
    <i>
      <x v="1"/>
    </i>
    <i>
      <x v="2"/>
    </i>
    <i>
      <x v="3"/>
    </i>
    <i t="grand">
      <x/>
    </i>
  </rowItems>
  <colFields count="1">
    <field x="-2"/>
  </colFields>
  <colItems count="2">
    <i>
      <x/>
    </i>
    <i i="1">
      <x v="1"/>
    </i>
  </colItems>
  <dataFields count="2">
    <dataField name="Sum of Net_Sales_INR" fld="11" baseField="0" baseItem="0" numFmtId="4"/>
    <dataField name="Sum of Profit_INR" fld="13" baseField="0" baseItem="0" numFmtId="4"/>
  </dataFields>
  <pivotTableStyleInfo name="PivotStyleMedium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CE3CB9-204E-4CD4-B862-196539D59DE0}" name="Dis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16:G22" firstHeaderRow="0" firstDataRow="1" firstDataCol="1"/>
  <pivotFields count="16">
    <pivotField showAll="0"/>
    <pivotField showAll="0"/>
    <pivotField showAll="0"/>
    <pivotField showAll="0">
      <items count="5">
        <item x="1"/>
        <item x="3"/>
        <item x="0"/>
        <item x="2"/>
        <item t="default"/>
      </items>
    </pivotField>
    <pivotField showAll="0">
      <items count="5">
        <item x="2"/>
        <item x="1"/>
        <item x="0"/>
        <item x="3"/>
        <item t="default"/>
      </items>
    </pivotField>
    <pivotField showAll="0">
      <items count="6">
        <item x="3"/>
        <item x="1"/>
        <item x="0"/>
        <item x="2"/>
        <item x="4"/>
        <item t="default"/>
      </items>
    </pivotField>
    <pivotField showAll="0"/>
    <pivotField showAll="0"/>
    <pivotField numFmtId="4" showAll="0"/>
    <pivotField numFmtId="4" showAll="0"/>
    <pivotField axis="axisRow" showAll="0">
      <items count="6">
        <item x="3"/>
        <item x="0"/>
        <item x="4"/>
        <item x="1"/>
        <item x="2"/>
        <item t="default"/>
      </items>
    </pivotField>
    <pivotField dataField="1" numFmtId="4" showAll="0"/>
    <pivotField numFmtId="4" showAll="0"/>
    <pivotField numFmtId="4" showAll="0"/>
    <pivotField dataField="1" numFmtId="2" showAll="0"/>
    <pivotField showAll="0"/>
  </pivotFields>
  <rowFields count="1">
    <field x="10"/>
  </rowFields>
  <rowItems count="6">
    <i>
      <x/>
    </i>
    <i>
      <x v="1"/>
    </i>
    <i>
      <x v="2"/>
    </i>
    <i>
      <x v="3"/>
    </i>
    <i>
      <x v="4"/>
    </i>
    <i t="grand">
      <x/>
    </i>
  </rowItems>
  <colFields count="1">
    <field x="-2"/>
  </colFields>
  <colItems count="2">
    <i>
      <x/>
    </i>
    <i i="1">
      <x v="1"/>
    </i>
  </colItems>
  <dataFields count="2">
    <dataField name="Average of Profit_Margin_Pct" fld="14" subtotal="average" baseField="10" baseItem="0" numFmtId="2"/>
    <dataField name="Sum of Net_Sales_INR" fld="11" baseField="0" baseItem="0" numFmtId="4"/>
  </dataFields>
  <chartFormats count="22">
    <chartFormat chart="1" format="2" series="1">
      <pivotArea type="data" outline="0" fieldPosition="0">
        <references count="1">
          <reference field="4294967294" count="1" selected="0">
            <x v="1"/>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1"/>
          </reference>
          <reference field="10" count="1" selected="0">
            <x v="2"/>
          </reference>
        </references>
      </pivotArea>
    </chartFormat>
    <chartFormat chart="1" format="5">
      <pivotArea type="data" outline="0" fieldPosition="0">
        <references count="2">
          <reference field="4294967294" count="1" selected="0">
            <x v="0"/>
          </reference>
          <reference field="10" count="1" selected="0">
            <x v="2"/>
          </reference>
        </references>
      </pivotArea>
    </chartFormat>
    <chartFormat chart="1" format="6">
      <pivotArea type="data" outline="0" fieldPosition="0">
        <references count="2">
          <reference field="4294967294" count="1" selected="0">
            <x v="0"/>
          </reference>
          <reference field="10" count="1" selected="0">
            <x v="3"/>
          </reference>
        </references>
      </pivotArea>
    </chartFormat>
    <chartFormat chart="1" format="7">
      <pivotArea type="data" outline="0" fieldPosition="0">
        <references count="2">
          <reference field="4294967294" count="1" selected="0">
            <x v="0"/>
          </reference>
          <reference field="10" count="1" selected="0">
            <x v="4"/>
          </reference>
        </references>
      </pivotArea>
    </chartFormat>
    <chartFormat chart="1" format="8">
      <pivotArea type="data" outline="0" fieldPosition="0">
        <references count="2">
          <reference field="4294967294" count="1" selected="0">
            <x v="1"/>
          </reference>
          <reference field="10" count="1" selected="0">
            <x v="1"/>
          </reference>
        </references>
      </pivotArea>
    </chartFormat>
    <chartFormat chart="1" format="9">
      <pivotArea type="data" outline="0" fieldPosition="0">
        <references count="2">
          <reference field="4294967294" count="1" selected="0">
            <x v="0"/>
          </reference>
          <reference field="10" count="1" selected="0">
            <x v="1"/>
          </reference>
        </references>
      </pivotArea>
    </chartFormat>
    <chartFormat chart="1" format="10">
      <pivotArea type="data" outline="0" fieldPosition="0">
        <references count="2">
          <reference field="4294967294" count="1" selected="0">
            <x v="1"/>
          </reference>
          <reference field="10" count="1" selected="0">
            <x v="0"/>
          </reference>
        </references>
      </pivotArea>
    </chartFormat>
    <chartFormat chart="1" format="11">
      <pivotArea type="data" outline="0" fieldPosition="0">
        <references count="2">
          <reference field="4294967294" count="1" selected="0">
            <x v="0"/>
          </reference>
          <reference field="10" count="1" selected="0">
            <x v="0"/>
          </reference>
        </references>
      </pivotArea>
    </chartFormat>
    <chartFormat chart="1" format="12">
      <pivotArea type="data" outline="0" fieldPosition="0">
        <references count="2">
          <reference field="4294967294" count="1" selected="0">
            <x v="1"/>
          </reference>
          <reference field="10" count="1" selected="0">
            <x v="3"/>
          </reference>
        </references>
      </pivotArea>
    </chartFormat>
    <chartFormat chart="5" format="24" series="1">
      <pivotArea type="data" outline="0" fieldPosition="0">
        <references count="1">
          <reference field="4294967294" count="1" selected="0">
            <x v="1"/>
          </reference>
        </references>
      </pivotArea>
    </chartFormat>
    <chartFormat chart="5" format="25">
      <pivotArea type="data" outline="0" fieldPosition="0">
        <references count="2">
          <reference field="4294967294" count="1" selected="0">
            <x v="1"/>
          </reference>
          <reference field="10" count="1" selected="0">
            <x v="0"/>
          </reference>
        </references>
      </pivotArea>
    </chartFormat>
    <chartFormat chart="5" format="26">
      <pivotArea type="data" outline="0" fieldPosition="0">
        <references count="2">
          <reference field="4294967294" count="1" selected="0">
            <x v="1"/>
          </reference>
          <reference field="10" count="1" selected="0">
            <x v="1"/>
          </reference>
        </references>
      </pivotArea>
    </chartFormat>
    <chartFormat chart="5" format="27">
      <pivotArea type="data" outline="0" fieldPosition="0">
        <references count="2">
          <reference field="4294967294" count="1" selected="0">
            <x v="1"/>
          </reference>
          <reference field="10" count="1" selected="0">
            <x v="2"/>
          </reference>
        </references>
      </pivotArea>
    </chartFormat>
    <chartFormat chart="5" format="28">
      <pivotArea type="data" outline="0" fieldPosition="0">
        <references count="2">
          <reference field="4294967294" count="1" selected="0">
            <x v="1"/>
          </reference>
          <reference field="10" count="1" selected="0">
            <x v="3"/>
          </reference>
        </references>
      </pivotArea>
    </chartFormat>
    <chartFormat chart="5" format="29" series="1">
      <pivotArea type="data" outline="0" fieldPosition="0">
        <references count="1">
          <reference field="4294967294" count="1" selected="0">
            <x v="0"/>
          </reference>
        </references>
      </pivotArea>
    </chartFormat>
    <chartFormat chart="5" format="30">
      <pivotArea type="data" outline="0" fieldPosition="0">
        <references count="2">
          <reference field="4294967294" count="1" selected="0">
            <x v="0"/>
          </reference>
          <reference field="10" count="1" selected="0">
            <x v="0"/>
          </reference>
        </references>
      </pivotArea>
    </chartFormat>
    <chartFormat chart="5" format="31">
      <pivotArea type="data" outline="0" fieldPosition="0">
        <references count="2">
          <reference field="4294967294" count="1" selected="0">
            <x v="0"/>
          </reference>
          <reference field="10" count="1" selected="0">
            <x v="1"/>
          </reference>
        </references>
      </pivotArea>
    </chartFormat>
    <chartFormat chart="5" format="32">
      <pivotArea type="data" outline="0" fieldPosition="0">
        <references count="2">
          <reference field="4294967294" count="1" selected="0">
            <x v="0"/>
          </reference>
          <reference field="10" count="1" selected="0">
            <x v="2"/>
          </reference>
        </references>
      </pivotArea>
    </chartFormat>
    <chartFormat chart="5" format="33">
      <pivotArea type="data" outline="0" fieldPosition="0">
        <references count="2">
          <reference field="4294967294" count="1" selected="0">
            <x v="0"/>
          </reference>
          <reference field="10" count="1" selected="0">
            <x v="3"/>
          </reference>
        </references>
      </pivotArea>
    </chartFormat>
    <chartFormat chart="5" format="34">
      <pivotArea type="data" outline="0" fieldPosition="0">
        <references count="2">
          <reference field="4294967294" count="1" selected="0">
            <x v="0"/>
          </reference>
          <reference field="10" count="1" selected="0">
            <x v="4"/>
          </reference>
        </references>
      </pivotArea>
    </chartFormat>
  </chartFormats>
  <pivotTableStyleInfo name="PivotStyleMedium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D72085-EEC9-4F5E-B99C-247BADC69868}" name="TopPerform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3:F12" firstHeaderRow="1" firstDataRow="1" firstDataCol="1"/>
  <pivotFields count="16">
    <pivotField showAll="0"/>
    <pivotField showAll="0"/>
    <pivotField showAll="0"/>
    <pivotField showAll="0">
      <items count="5">
        <item x="1"/>
        <item x="3"/>
        <item x="0"/>
        <item x="2"/>
        <item t="default"/>
      </items>
    </pivotField>
    <pivotField showAll="0">
      <items count="5">
        <item x="2"/>
        <item x="1"/>
        <item x="0"/>
        <item x="3"/>
        <item t="default"/>
      </items>
    </pivotField>
    <pivotField showAll="0">
      <items count="6">
        <item x="3"/>
        <item x="1"/>
        <item x="0"/>
        <item x="2"/>
        <item x="4"/>
        <item t="default"/>
      </items>
    </pivotField>
    <pivotField showAll="0"/>
    <pivotField showAll="0"/>
    <pivotField numFmtId="4" showAll="0"/>
    <pivotField numFmtId="4" showAll="0"/>
    <pivotField showAll="0"/>
    <pivotField dataField="1" numFmtId="4" showAll="0"/>
    <pivotField numFmtId="4" showAll="0"/>
    <pivotField numFmtId="4" showAll="0"/>
    <pivotField numFmtId="2" showAll="0"/>
    <pivotField axis="axisRow" showAll="0" sortType="descending">
      <items count="9">
        <item x="3"/>
        <item x="4"/>
        <item x="2"/>
        <item x="1"/>
        <item x="7"/>
        <item x="0"/>
        <item x="5"/>
        <item x="6"/>
        <item t="default"/>
      </items>
      <autoSortScope>
        <pivotArea dataOnly="0" outline="0" fieldPosition="0">
          <references count="1">
            <reference field="4294967294" count="1" selected="0">
              <x v="0"/>
            </reference>
          </references>
        </pivotArea>
      </autoSortScope>
    </pivotField>
  </pivotFields>
  <rowFields count="1">
    <field x="15"/>
  </rowFields>
  <rowItems count="9">
    <i>
      <x v="3"/>
    </i>
    <i>
      <x v="6"/>
    </i>
    <i>
      <x v="4"/>
    </i>
    <i>
      <x v="1"/>
    </i>
    <i>
      <x v="7"/>
    </i>
    <i>
      <x v="5"/>
    </i>
    <i>
      <x/>
    </i>
    <i>
      <x v="2"/>
    </i>
    <i t="grand">
      <x/>
    </i>
  </rowItems>
  <colItems count="1">
    <i/>
  </colItems>
  <dataFields count="1">
    <dataField name="Sum of Net_Sales_INR" fld="11" baseField="0" baseItem="0" numFmtId="4"/>
  </dataFields>
  <chartFormats count="18">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5" count="1" selected="0">
            <x v="3"/>
          </reference>
        </references>
      </pivotArea>
    </chartFormat>
    <chartFormat chart="1" format="3">
      <pivotArea type="data" outline="0" fieldPosition="0">
        <references count="2">
          <reference field="4294967294" count="1" selected="0">
            <x v="0"/>
          </reference>
          <reference field="15" count="1" selected="0">
            <x v="6"/>
          </reference>
        </references>
      </pivotArea>
    </chartFormat>
    <chartFormat chart="1" format="4">
      <pivotArea type="data" outline="0" fieldPosition="0">
        <references count="2">
          <reference field="4294967294" count="1" selected="0">
            <x v="0"/>
          </reference>
          <reference field="15" count="1" selected="0">
            <x v="4"/>
          </reference>
        </references>
      </pivotArea>
    </chartFormat>
    <chartFormat chart="1" format="5">
      <pivotArea type="data" outline="0" fieldPosition="0">
        <references count="2">
          <reference field="4294967294" count="1" selected="0">
            <x v="0"/>
          </reference>
          <reference field="15" count="1" selected="0">
            <x v="1"/>
          </reference>
        </references>
      </pivotArea>
    </chartFormat>
    <chartFormat chart="1" format="6">
      <pivotArea type="data" outline="0" fieldPosition="0">
        <references count="2">
          <reference field="4294967294" count="1" selected="0">
            <x v="0"/>
          </reference>
          <reference field="15" count="1" selected="0">
            <x v="7"/>
          </reference>
        </references>
      </pivotArea>
    </chartFormat>
    <chartFormat chart="1" format="7">
      <pivotArea type="data" outline="0" fieldPosition="0">
        <references count="2">
          <reference field="4294967294" count="1" selected="0">
            <x v="0"/>
          </reference>
          <reference field="15" count="1" selected="0">
            <x v="5"/>
          </reference>
        </references>
      </pivotArea>
    </chartFormat>
    <chartFormat chart="1" format="8">
      <pivotArea type="data" outline="0" fieldPosition="0">
        <references count="2">
          <reference field="4294967294" count="1" selected="0">
            <x v="0"/>
          </reference>
          <reference field="15" count="1" selected="0">
            <x v="0"/>
          </reference>
        </references>
      </pivotArea>
    </chartFormat>
    <chartFormat chart="1" format="9">
      <pivotArea type="data" outline="0" fieldPosition="0">
        <references count="2">
          <reference field="4294967294" count="1" selected="0">
            <x v="0"/>
          </reference>
          <reference field="15" count="1" selected="0">
            <x v="2"/>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15" count="1" selected="0">
            <x v="3"/>
          </reference>
        </references>
      </pivotArea>
    </chartFormat>
    <chartFormat chart="4" format="14">
      <pivotArea type="data" outline="0" fieldPosition="0">
        <references count="2">
          <reference field="4294967294" count="1" selected="0">
            <x v="0"/>
          </reference>
          <reference field="15" count="1" selected="0">
            <x v="2"/>
          </reference>
        </references>
      </pivotArea>
    </chartFormat>
    <chartFormat chart="4" format="15">
      <pivotArea type="data" outline="0" fieldPosition="0">
        <references count="2">
          <reference field="4294967294" count="1" selected="0">
            <x v="0"/>
          </reference>
          <reference field="15" count="1" selected="0">
            <x v="0"/>
          </reference>
        </references>
      </pivotArea>
    </chartFormat>
    <chartFormat chart="4" format="16">
      <pivotArea type="data" outline="0" fieldPosition="0">
        <references count="2">
          <reference field="4294967294" count="1" selected="0">
            <x v="0"/>
          </reference>
          <reference field="15" count="1" selected="0">
            <x v="5"/>
          </reference>
        </references>
      </pivotArea>
    </chartFormat>
    <chartFormat chart="4" format="17">
      <pivotArea type="data" outline="0" fieldPosition="0">
        <references count="2">
          <reference field="4294967294" count="1" selected="0">
            <x v="0"/>
          </reference>
          <reference field="15" count="1" selected="0">
            <x v="7"/>
          </reference>
        </references>
      </pivotArea>
    </chartFormat>
    <chartFormat chart="4" format="18">
      <pivotArea type="data" outline="0" fieldPosition="0">
        <references count="2">
          <reference field="4294967294" count="1" selected="0">
            <x v="0"/>
          </reference>
          <reference field="15" count="1" selected="0">
            <x v="1"/>
          </reference>
        </references>
      </pivotArea>
    </chartFormat>
    <chartFormat chart="4" format="19">
      <pivotArea type="data" outline="0" fieldPosition="0">
        <references count="2">
          <reference field="4294967294" count="1" selected="0">
            <x v="0"/>
          </reference>
          <reference field="15" count="1" selected="0">
            <x v="4"/>
          </reference>
        </references>
      </pivotArea>
    </chartFormat>
    <chartFormat chart="4" format="20">
      <pivotArea type="data" outline="0" fieldPosition="0">
        <references count="2">
          <reference field="4294967294" count="1" selected="0">
            <x v="0"/>
          </reference>
          <reference field="15" count="1" selected="0">
            <x v="6"/>
          </reference>
        </references>
      </pivotArea>
    </chartFormat>
  </chartFormats>
  <pivotTableStyleInfo name="PivotStyleMedium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2F0B23-6E5B-4987-B84D-881DED3031C0}" name="Category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7:B33" firstHeaderRow="1" firstDataRow="1" firstDataCol="1"/>
  <pivotFields count="16">
    <pivotField showAll="0"/>
    <pivotField showAll="0"/>
    <pivotField showAll="0"/>
    <pivotField showAll="0">
      <items count="5">
        <item x="1"/>
        <item x="3"/>
        <item x="0"/>
        <item x="2"/>
        <item t="default"/>
      </items>
    </pivotField>
    <pivotField showAll="0">
      <items count="5">
        <item x="2"/>
        <item x="1"/>
        <item x="0"/>
        <item x="3"/>
        <item t="default"/>
      </items>
    </pivotField>
    <pivotField axis="axisRow" showAll="0">
      <items count="6">
        <item x="3"/>
        <item x="1"/>
        <item x="0"/>
        <item x="2"/>
        <item x="4"/>
        <item t="default"/>
      </items>
    </pivotField>
    <pivotField showAll="0"/>
    <pivotField showAll="0"/>
    <pivotField numFmtId="4" showAll="0"/>
    <pivotField numFmtId="4" showAll="0"/>
    <pivotField showAll="0"/>
    <pivotField dataField="1" numFmtId="4" showAll="0"/>
    <pivotField numFmtId="4" showAll="0"/>
    <pivotField numFmtId="4" showAll="0"/>
    <pivotField numFmtId="2" showAll="0"/>
    <pivotField showAll="0"/>
  </pivotFields>
  <rowFields count="1">
    <field x="5"/>
  </rowFields>
  <rowItems count="6">
    <i>
      <x/>
    </i>
    <i>
      <x v="1"/>
    </i>
    <i>
      <x v="2"/>
    </i>
    <i>
      <x v="3"/>
    </i>
    <i>
      <x v="4"/>
    </i>
    <i t="grand">
      <x/>
    </i>
  </rowItems>
  <colItems count="1">
    <i/>
  </colItems>
  <dataFields count="1">
    <dataField name="Sum of Net_Sales_INR" fld="11" showDataAs="percentOfTotal" baseField="0" baseItem="0" numFmtId="10"/>
  </dataFields>
  <chartFormats count="12">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5" count="1" selected="0">
            <x v="0"/>
          </reference>
        </references>
      </pivotArea>
    </chartFormat>
    <chartFormat chart="1" format="3">
      <pivotArea type="data" outline="0" fieldPosition="0">
        <references count="2">
          <reference field="4294967294" count="1" selected="0">
            <x v="0"/>
          </reference>
          <reference field="5" count="1" selected="0">
            <x v="1"/>
          </reference>
        </references>
      </pivotArea>
    </chartFormat>
    <chartFormat chart="1" format="4">
      <pivotArea type="data" outline="0" fieldPosition="0">
        <references count="2">
          <reference field="4294967294" count="1" selected="0">
            <x v="0"/>
          </reference>
          <reference field="5" count="1" selected="0">
            <x v="2"/>
          </reference>
        </references>
      </pivotArea>
    </chartFormat>
    <chartFormat chart="1" format="5">
      <pivotArea type="data" outline="0" fieldPosition="0">
        <references count="2">
          <reference field="4294967294" count="1" selected="0">
            <x v="0"/>
          </reference>
          <reference field="5" count="1" selected="0">
            <x v="3"/>
          </reference>
        </references>
      </pivotArea>
    </chartFormat>
    <chartFormat chart="1" format="6">
      <pivotArea type="data" outline="0" fieldPosition="0">
        <references count="2">
          <reference field="4294967294" count="1" selected="0">
            <x v="0"/>
          </reference>
          <reference field="5" count="1" selected="0">
            <x v="4"/>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5" count="1" selected="0">
            <x v="0"/>
          </reference>
        </references>
      </pivotArea>
    </chartFormat>
    <chartFormat chart="5" format="15">
      <pivotArea type="data" outline="0" fieldPosition="0">
        <references count="2">
          <reference field="4294967294" count="1" selected="0">
            <x v="0"/>
          </reference>
          <reference field="5" count="1" selected="0">
            <x v="1"/>
          </reference>
        </references>
      </pivotArea>
    </chartFormat>
    <chartFormat chart="5" format="16">
      <pivotArea type="data" outline="0" fieldPosition="0">
        <references count="2">
          <reference field="4294967294" count="1" selected="0">
            <x v="0"/>
          </reference>
          <reference field="5" count="1" selected="0">
            <x v="2"/>
          </reference>
        </references>
      </pivotArea>
    </chartFormat>
    <chartFormat chart="5" format="17">
      <pivotArea type="data" outline="0" fieldPosition="0">
        <references count="2">
          <reference field="4294967294" count="1" selected="0">
            <x v="0"/>
          </reference>
          <reference field="5" count="1" selected="0">
            <x v="3"/>
          </reference>
        </references>
      </pivotArea>
    </chartFormat>
    <chartFormat chart="5" format="18">
      <pivotArea type="data" outline="0" fieldPosition="0">
        <references count="2">
          <reference field="4294967294" count="1" selected="0">
            <x v="0"/>
          </reference>
          <reference field="5" count="1" selected="0">
            <x v="4"/>
          </reference>
        </references>
      </pivotArea>
    </chartFormat>
  </chartFormats>
  <pivotTableStyleInfo name="PivotStyleMedium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E98CD7-11D2-4512-81D2-3A1F08F388CE}" name="RegionWise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9:B24" firstHeaderRow="1" firstDataRow="1" firstDataCol="1"/>
  <pivotFields count="16">
    <pivotField showAll="0"/>
    <pivotField showAll="0"/>
    <pivotField showAll="0"/>
    <pivotField showAll="0">
      <items count="5">
        <item x="1"/>
        <item x="3"/>
        <item x="0"/>
        <item x="2"/>
        <item t="default"/>
      </items>
    </pivotField>
    <pivotField axis="axisRow" showAll="0">
      <items count="5">
        <item x="2"/>
        <item x="1"/>
        <item x="0"/>
        <item x="3"/>
        <item t="default"/>
      </items>
    </pivotField>
    <pivotField showAll="0">
      <items count="6">
        <item x="3"/>
        <item x="1"/>
        <item x="0"/>
        <item x="2"/>
        <item x="4"/>
        <item t="default"/>
      </items>
    </pivotField>
    <pivotField showAll="0"/>
    <pivotField showAll="0"/>
    <pivotField numFmtId="4" showAll="0"/>
    <pivotField numFmtId="4" showAll="0"/>
    <pivotField showAll="0"/>
    <pivotField dataField="1" numFmtId="4" showAll="0"/>
    <pivotField numFmtId="4" showAll="0"/>
    <pivotField numFmtId="4" showAll="0"/>
    <pivotField numFmtId="2" showAll="0"/>
    <pivotField showAll="0"/>
  </pivotFields>
  <rowFields count="1">
    <field x="4"/>
  </rowFields>
  <rowItems count="5">
    <i>
      <x/>
    </i>
    <i>
      <x v="1"/>
    </i>
    <i>
      <x v="2"/>
    </i>
    <i>
      <x v="3"/>
    </i>
    <i t="grand">
      <x/>
    </i>
  </rowItems>
  <colItems count="1">
    <i/>
  </colItems>
  <dataFields count="1">
    <dataField name="Sum of Net_Sales_INR" fld="11" baseField="0" baseItem="0" numFmtId="4"/>
  </dataFields>
  <chartFormats count="10">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4" count="1" selected="0">
            <x v="3"/>
          </reference>
        </references>
      </pivotArea>
    </chartFormat>
    <chartFormat chart="10" format="3">
      <pivotArea type="data" outline="0" fieldPosition="0">
        <references count="2">
          <reference field="4294967294" count="1" selected="0">
            <x v="0"/>
          </reference>
          <reference field="4" count="1" selected="0">
            <x v="2"/>
          </reference>
        </references>
      </pivotArea>
    </chartFormat>
    <chartFormat chart="10" format="4">
      <pivotArea type="data" outline="0" fieldPosition="0">
        <references count="2">
          <reference field="4294967294" count="1" selected="0">
            <x v="0"/>
          </reference>
          <reference field="4" count="1" selected="0">
            <x v="1"/>
          </reference>
        </references>
      </pivotArea>
    </chartFormat>
    <chartFormat chart="10" format="5">
      <pivotArea type="data" outline="0" fieldPosition="0">
        <references count="2">
          <reference field="4294967294" count="1" selected="0">
            <x v="0"/>
          </reference>
          <reference field="4" count="1" selected="0">
            <x v="0"/>
          </reference>
        </references>
      </pivotArea>
    </chartFormat>
    <chartFormat chart="14" format="11" series="1">
      <pivotArea type="data" outline="0" fieldPosition="0">
        <references count="1">
          <reference field="4294967294" count="1" selected="0">
            <x v="0"/>
          </reference>
        </references>
      </pivotArea>
    </chartFormat>
    <chartFormat chart="14" format="12">
      <pivotArea type="data" outline="0" fieldPosition="0">
        <references count="2">
          <reference field="4294967294" count="1" selected="0">
            <x v="0"/>
          </reference>
          <reference field="4" count="1" selected="0">
            <x v="0"/>
          </reference>
        </references>
      </pivotArea>
    </chartFormat>
    <chartFormat chart="14" format="13">
      <pivotArea type="data" outline="0" fieldPosition="0">
        <references count="2">
          <reference field="4294967294" count="1" selected="0">
            <x v="0"/>
          </reference>
          <reference field="4" count="1" selected="0">
            <x v="1"/>
          </reference>
        </references>
      </pivotArea>
    </chartFormat>
    <chartFormat chart="14" format="14">
      <pivotArea type="data" outline="0" fieldPosition="0">
        <references count="2">
          <reference field="4294967294" count="1" selected="0">
            <x v="0"/>
          </reference>
          <reference field="4" count="1" selected="0">
            <x v="2"/>
          </reference>
        </references>
      </pivotArea>
    </chartFormat>
    <chartFormat chart="14" format="15">
      <pivotArea type="data" outline="0" fieldPosition="0">
        <references count="2">
          <reference field="4294967294" count="1" selected="0">
            <x v="0"/>
          </reference>
          <reference field="4" count="1" selected="0">
            <x v="3"/>
          </reference>
        </references>
      </pivotArea>
    </chartFormat>
  </chartFormats>
  <pivotTableStyleInfo name="PivotStyleMedium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ECE61A-802F-4F8B-A897-05BEB9F24FD7}" name="MonthSales" cacheId="0"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A3:B16" firstHeaderRow="1" firstDataRow="1" firstDataCol="1"/>
  <pivotFields count="16">
    <pivotField showAll="0"/>
    <pivotField showAll="0"/>
    <pivotField axis="axisRow" showAll="0">
      <items count="13">
        <item x="8"/>
        <item x="1"/>
        <item x="5"/>
        <item x="7"/>
        <item x="6"/>
        <item x="11"/>
        <item x="0"/>
        <item x="2"/>
        <item x="9"/>
        <item x="3"/>
        <item x="10"/>
        <item x="4"/>
        <item t="default"/>
      </items>
    </pivotField>
    <pivotField showAll="0">
      <items count="5">
        <item x="1"/>
        <item x="3"/>
        <item x="0"/>
        <item x="2"/>
        <item t="default"/>
      </items>
    </pivotField>
    <pivotField showAll="0">
      <items count="5">
        <item x="2"/>
        <item x="1"/>
        <item x="0"/>
        <item x="3"/>
        <item t="default"/>
      </items>
    </pivotField>
    <pivotField showAll="0">
      <items count="6">
        <item x="3"/>
        <item x="1"/>
        <item x="0"/>
        <item x="2"/>
        <item x="4"/>
        <item t="default"/>
      </items>
    </pivotField>
    <pivotField showAll="0"/>
    <pivotField showAll="0"/>
    <pivotField numFmtId="4" showAll="0"/>
    <pivotField numFmtId="4" showAll="0"/>
    <pivotField showAll="0"/>
    <pivotField dataField="1" numFmtId="4" showAll="0"/>
    <pivotField numFmtId="4" showAll="0"/>
    <pivotField numFmtId="4" showAll="0"/>
    <pivotField numFmtId="2"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Net_Sales_INR" fld="11" baseField="0" baseItem="0" numFmtId="4"/>
  </dataFields>
  <chartFormats count="27">
    <chartFormat chart="35" format="0"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8" format="3">
      <pivotArea type="data" outline="0" fieldPosition="0">
        <references count="2">
          <reference field="4294967294" count="1" selected="0">
            <x v="0"/>
          </reference>
          <reference field="2" count="1" selected="0">
            <x v="11"/>
          </reference>
        </references>
      </pivotArea>
    </chartFormat>
    <chartFormat chart="38" format="4">
      <pivotArea type="data" outline="0" fieldPosition="0">
        <references count="2">
          <reference field="4294967294" count="1" selected="0">
            <x v="0"/>
          </reference>
          <reference field="2" count="1" selected="0">
            <x v="1"/>
          </reference>
        </references>
      </pivotArea>
    </chartFormat>
    <chartFormat chart="38" format="5">
      <pivotArea type="data" outline="0" fieldPosition="0">
        <references count="2">
          <reference field="4294967294" count="1" selected="0">
            <x v="0"/>
          </reference>
          <reference field="2" count="1" selected="0">
            <x v="2"/>
          </reference>
        </references>
      </pivotArea>
    </chartFormat>
    <chartFormat chart="38" format="6">
      <pivotArea type="data" outline="0" fieldPosition="0">
        <references count="2">
          <reference field="4294967294" count="1" selected="0">
            <x v="0"/>
          </reference>
          <reference field="2" count="1" selected="0">
            <x v="3"/>
          </reference>
        </references>
      </pivotArea>
    </chartFormat>
    <chartFormat chart="38" format="7">
      <pivotArea type="data" outline="0" fieldPosition="0">
        <references count="2">
          <reference field="4294967294" count="1" selected="0">
            <x v="0"/>
          </reference>
          <reference field="2" count="1" selected="0">
            <x v="5"/>
          </reference>
        </references>
      </pivotArea>
    </chartFormat>
    <chartFormat chart="38" format="8">
      <pivotArea type="data" outline="0" fieldPosition="0">
        <references count="2">
          <reference field="4294967294" count="1" selected="0">
            <x v="0"/>
          </reference>
          <reference field="2" count="1" selected="0">
            <x v="6"/>
          </reference>
        </references>
      </pivotArea>
    </chartFormat>
    <chartFormat chart="38" format="9">
      <pivotArea type="data" outline="0" fieldPosition="0">
        <references count="2">
          <reference field="4294967294" count="1" selected="0">
            <x v="0"/>
          </reference>
          <reference field="2" count="1" selected="0">
            <x v="8"/>
          </reference>
        </references>
      </pivotArea>
    </chartFormat>
    <chartFormat chart="38" format="10">
      <pivotArea type="data" outline="0" fieldPosition="0">
        <references count="2">
          <reference field="4294967294" count="1" selected="0">
            <x v="0"/>
          </reference>
          <reference field="2" count="1" selected="0">
            <x v="9"/>
          </reference>
        </references>
      </pivotArea>
    </chartFormat>
    <chartFormat chart="38" format="11">
      <pivotArea type="data" outline="0" fieldPosition="0">
        <references count="2">
          <reference field="4294967294" count="1" selected="0">
            <x v="0"/>
          </reference>
          <reference field="2" count="1" selected="0">
            <x v="10"/>
          </reference>
        </references>
      </pivotArea>
    </chartFormat>
    <chartFormat chart="45" format="22" series="1">
      <pivotArea type="data" outline="0" fieldPosition="0">
        <references count="1">
          <reference field="4294967294" count="1" selected="0">
            <x v="0"/>
          </reference>
        </references>
      </pivotArea>
    </chartFormat>
    <chartFormat chart="45" format="23">
      <pivotArea type="data" outline="0" fieldPosition="0">
        <references count="2">
          <reference field="4294967294" count="1" selected="0">
            <x v="0"/>
          </reference>
          <reference field="2" count="1" selected="0">
            <x v="1"/>
          </reference>
        </references>
      </pivotArea>
    </chartFormat>
    <chartFormat chart="45" format="24">
      <pivotArea type="data" outline="0" fieldPosition="0">
        <references count="2">
          <reference field="4294967294" count="1" selected="0">
            <x v="0"/>
          </reference>
          <reference field="2" count="1" selected="0">
            <x v="2"/>
          </reference>
        </references>
      </pivotArea>
    </chartFormat>
    <chartFormat chart="45" format="25">
      <pivotArea type="data" outline="0" fieldPosition="0">
        <references count="2">
          <reference field="4294967294" count="1" selected="0">
            <x v="0"/>
          </reference>
          <reference field="2" count="1" selected="0">
            <x v="3"/>
          </reference>
        </references>
      </pivotArea>
    </chartFormat>
    <chartFormat chart="45" format="26">
      <pivotArea type="data" outline="0" fieldPosition="0">
        <references count="2">
          <reference field="4294967294" count="1" selected="0">
            <x v="0"/>
          </reference>
          <reference field="2" count="1" selected="0">
            <x v="5"/>
          </reference>
        </references>
      </pivotArea>
    </chartFormat>
    <chartFormat chart="45" format="27">
      <pivotArea type="data" outline="0" fieldPosition="0">
        <references count="2">
          <reference field="4294967294" count="1" selected="0">
            <x v="0"/>
          </reference>
          <reference field="2" count="1" selected="0">
            <x v="6"/>
          </reference>
        </references>
      </pivotArea>
    </chartFormat>
    <chartFormat chart="45" format="28">
      <pivotArea type="data" outline="0" fieldPosition="0">
        <references count="2">
          <reference field="4294967294" count="1" selected="0">
            <x v="0"/>
          </reference>
          <reference field="2" count="1" selected="0">
            <x v="8"/>
          </reference>
        </references>
      </pivotArea>
    </chartFormat>
    <chartFormat chart="45" format="29">
      <pivotArea type="data" outline="0" fieldPosition="0">
        <references count="2">
          <reference field="4294967294" count="1" selected="0">
            <x v="0"/>
          </reference>
          <reference field="2" count="1" selected="0">
            <x v="9"/>
          </reference>
        </references>
      </pivotArea>
    </chartFormat>
    <chartFormat chart="45" format="30">
      <pivotArea type="data" outline="0" fieldPosition="0">
        <references count="2">
          <reference field="4294967294" count="1" selected="0">
            <x v="0"/>
          </reference>
          <reference field="2" count="1" selected="0">
            <x v="10"/>
          </reference>
        </references>
      </pivotArea>
    </chartFormat>
    <chartFormat chart="45" format="31">
      <pivotArea type="data" outline="0" fieldPosition="0">
        <references count="2">
          <reference field="4294967294" count="1" selected="0">
            <x v="0"/>
          </reference>
          <reference field="2" count="1" selected="0">
            <x v="11"/>
          </reference>
        </references>
      </pivotArea>
    </chartFormat>
    <chartFormat chart="45" format="32">
      <pivotArea type="data" outline="0" fieldPosition="0">
        <references count="2">
          <reference field="4294967294" count="1" selected="0">
            <x v="0"/>
          </reference>
          <reference field="2" count="1" selected="0">
            <x v="4"/>
          </reference>
        </references>
      </pivotArea>
    </chartFormat>
    <chartFormat chart="45" format="33">
      <pivotArea type="data" outline="0" fieldPosition="0">
        <references count="2">
          <reference field="4294967294" count="1" selected="0">
            <x v="0"/>
          </reference>
          <reference field="2" count="1" selected="0">
            <x v="7"/>
          </reference>
        </references>
      </pivotArea>
    </chartFormat>
    <chartFormat chart="38" format="12">
      <pivotArea type="data" outline="0" fieldPosition="0">
        <references count="2">
          <reference field="4294967294" count="1" selected="0">
            <x v="0"/>
          </reference>
          <reference field="2" count="1" selected="0">
            <x v="7"/>
          </reference>
        </references>
      </pivotArea>
    </chartFormat>
    <chartFormat chart="38" format="13">
      <pivotArea type="data" outline="0" fieldPosition="0">
        <references count="2">
          <reference field="4294967294" count="1" selected="0">
            <x v="0"/>
          </reference>
          <reference field="2" count="1" selected="0">
            <x v="4"/>
          </reference>
        </references>
      </pivotArea>
    </chartFormat>
  </chartFormats>
  <pivotTableStyleInfo name="PivotStyleMedium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34EFE0-F2AE-4EB7-B95B-88CD9319841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6">
    <pivotField showAll="0"/>
    <pivotField showAll="0"/>
    <pivotField showAll="0"/>
    <pivotField axis="axisCol" showAll="0">
      <items count="5">
        <item x="1"/>
        <item x="3"/>
        <item x="0"/>
        <item x="2"/>
        <item t="default"/>
      </items>
    </pivotField>
    <pivotField showAll="0">
      <items count="5">
        <item x="2"/>
        <item x="1"/>
        <item x="0"/>
        <item x="3"/>
        <item t="default"/>
      </items>
    </pivotField>
    <pivotField axis="axisRow" showAll="0">
      <items count="6">
        <item x="3"/>
        <item x="1"/>
        <item x="0"/>
        <item x="2"/>
        <item x="4"/>
        <item t="default"/>
      </items>
    </pivotField>
    <pivotField showAll="0"/>
    <pivotField showAll="0"/>
    <pivotField numFmtId="4" showAll="0"/>
    <pivotField numFmtId="4" showAll="0"/>
    <pivotField showAll="0"/>
    <pivotField dataField="1" numFmtId="4" showAll="0"/>
    <pivotField numFmtId="4" showAll="0"/>
    <pivotField numFmtId="4" showAll="0"/>
    <pivotField numFmtId="2" showAll="0"/>
    <pivotField showAll="0"/>
  </pivotFields>
  <rowFields count="1">
    <field x="5"/>
  </rowFields>
  <rowItems count="6">
    <i>
      <x/>
    </i>
    <i>
      <x v="1"/>
    </i>
    <i>
      <x v="2"/>
    </i>
    <i>
      <x v="3"/>
    </i>
    <i>
      <x v="4"/>
    </i>
    <i t="grand">
      <x/>
    </i>
  </rowItems>
  <colFields count="1">
    <field x="3"/>
  </colFields>
  <colItems count="5">
    <i>
      <x/>
    </i>
    <i>
      <x v="1"/>
    </i>
    <i>
      <x v="2"/>
    </i>
    <i>
      <x v="3"/>
    </i>
    <i t="grand">
      <x/>
    </i>
  </colItems>
  <dataFields count="1">
    <dataField name="Sum of Net_Sales_INR" fld="11" showDataAs="percentOfCol" baseField="0" baseItem="0" numFmtId="10"/>
  </dataFields>
  <pivotTableStyleInfo name="PivotStyleMedium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CFD17E1-ED44-424F-A569-D0496EA36DA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2" firstHeaderRow="0" firstDataRow="1" firstDataCol="1"/>
  <pivotFields count="16">
    <pivotField dataField="1" showAll="0"/>
    <pivotField showAll="0"/>
    <pivotField showAll="0"/>
    <pivotField showAll="0">
      <items count="5">
        <item x="1"/>
        <item x="3"/>
        <item x="0"/>
        <item x="2"/>
        <item t="default"/>
      </items>
    </pivotField>
    <pivotField showAll="0">
      <items count="5">
        <item x="2"/>
        <item x="1"/>
        <item x="0"/>
        <item x="3"/>
        <item t="default"/>
      </items>
    </pivotField>
    <pivotField showAll="0">
      <items count="6">
        <item x="3"/>
        <item x="1"/>
        <item x="0"/>
        <item x="2"/>
        <item x="4"/>
        <item t="default"/>
      </items>
    </pivotField>
    <pivotField showAll="0"/>
    <pivotField showAll="0"/>
    <pivotField numFmtId="4" showAll="0"/>
    <pivotField numFmtId="4" showAll="0"/>
    <pivotField showAll="0"/>
    <pivotField dataField="1" numFmtId="4" showAll="0"/>
    <pivotField numFmtId="4" showAll="0"/>
    <pivotField dataField="1" numFmtId="4" showAll="0"/>
    <pivotField numFmtId="2" showAll="0"/>
    <pivotField axis="axisRow" showAll="0" sortType="descending">
      <items count="9">
        <item x="3"/>
        <item x="4"/>
        <item x="2"/>
        <item x="1"/>
        <item x="7"/>
        <item x="0"/>
        <item x="5"/>
        <item x="6"/>
        <item t="default"/>
      </items>
      <autoSortScope>
        <pivotArea dataOnly="0" outline="0" fieldPosition="0">
          <references count="1">
            <reference field="4294967294" count="1" selected="0">
              <x v="0"/>
            </reference>
          </references>
        </pivotArea>
      </autoSortScope>
    </pivotField>
  </pivotFields>
  <rowFields count="1">
    <field x="15"/>
  </rowFields>
  <rowItems count="9">
    <i>
      <x v="3"/>
    </i>
    <i>
      <x v="6"/>
    </i>
    <i>
      <x v="4"/>
    </i>
    <i>
      <x v="1"/>
    </i>
    <i>
      <x v="7"/>
    </i>
    <i>
      <x v="5"/>
    </i>
    <i>
      <x/>
    </i>
    <i>
      <x v="2"/>
    </i>
    <i t="grand">
      <x/>
    </i>
  </rowItems>
  <colFields count="1">
    <field x="-2"/>
  </colFields>
  <colItems count="3">
    <i>
      <x/>
    </i>
    <i i="1">
      <x v="1"/>
    </i>
    <i i="2">
      <x v="2"/>
    </i>
  </colItems>
  <dataFields count="3">
    <dataField name="Sum of Net_Sales_INR" fld="11" baseField="0" baseItem="0" numFmtId="4"/>
    <dataField name="Sum of Profit_INR" fld="13" baseField="0" baseItem="0" numFmtId="4"/>
    <dataField name="Count of Order_ID" fld="0" subtotal="count" baseField="15" baseItem="2"/>
  </dataFields>
  <pivotTableStyleInfo name="PivotStyleMedium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A45E962-7E22-42E3-B10E-0E7641555D8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9" firstHeaderRow="0" firstDataRow="1" firstDataCol="1"/>
  <pivotFields count="16">
    <pivotField dataField="1" showAll="0"/>
    <pivotField showAll="0"/>
    <pivotField showAll="0"/>
    <pivotField showAll="0">
      <items count="5">
        <item x="1"/>
        <item x="3"/>
        <item x="0"/>
        <item x="2"/>
        <item t="default"/>
      </items>
    </pivotField>
    <pivotField showAll="0">
      <items count="5">
        <item x="2"/>
        <item x="1"/>
        <item x="0"/>
        <item x="3"/>
        <item t="default"/>
      </items>
    </pivotField>
    <pivotField showAll="0">
      <items count="6">
        <item x="3"/>
        <item x="1"/>
        <item x="0"/>
        <item x="2"/>
        <item x="4"/>
        <item t="default"/>
      </items>
    </pivotField>
    <pivotField showAll="0"/>
    <pivotField showAll="0"/>
    <pivotField numFmtId="4" showAll="0"/>
    <pivotField numFmtId="4" showAll="0"/>
    <pivotField axis="axisRow" showAll="0">
      <items count="6">
        <item x="3"/>
        <item x="0"/>
        <item x="4"/>
        <item x="1"/>
        <item x="2"/>
        <item t="default"/>
      </items>
    </pivotField>
    <pivotField dataField="1" numFmtId="4" showAll="0"/>
    <pivotField numFmtId="4" showAll="0"/>
    <pivotField numFmtId="4" showAll="0"/>
    <pivotField dataField="1" numFmtId="2" showAll="0"/>
    <pivotField showAll="0"/>
  </pivotFields>
  <rowFields count="1">
    <field x="10"/>
  </rowFields>
  <rowItems count="6">
    <i>
      <x/>
    </i>
    <i>
      <x v="1"/>
    </i>
    <i>
      <x v="2"/>
    </i>
    <i>
      <x v="3"/>
    </i>
    <i>
      <x v="4"/>
    </i>
    <i t="grand">
      <x/>
    </i>
  </rowItems>
  <colFields count="1">
    <field x="-2"/>
  </colFields>
  <colItems count="3">
    <i>
      <x/>
    </i>
    <i i="1">
      <x v="1"/>
    </i>
    <i i="2">
      <x v="2"/>
    </i>
  </colItems>
  <dataFields count="3">
    <dataField name="Average of Profit_Margin_Pct" fld="14" subtotal="average" baseField="10" baseItem="0" numFmtId="2"/>
    <dataField name="Sum of Net_Sales_INR" fld="11" baseField="0" baseItem="0" numFmtId="4"/>
    <dataField name="Count of Order_ID" fld="0" subtotal="count" baseField="10" baseItem="0"/>
  </dataFields>
  <pivotTableStyleInfo name="PivotStyleMedium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ADB22F27-5C21-422E-AF20-7A63583A7BEF}" sourceName="Quarter">
  <pivotTables>
    <pivotTable tabId="8" name="MonthSales"/>
    <pivotTable tabId="8" name="QuarterSales"/>
    <pivotTable tabId="8" name="CategorySales"/>
    <pivotTable tabId="8" name="Discount"/>
    <pivotTable tabId="8" name="RegionWiseSales"/>
    <pivotTable tabId="8" name="TopPerformer"/>
  </pivotTables>
  <data>
    <tabular pivotCacheId="1392852398">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147BD3D-D34D-4C9A-A6C2-01A15BDC0678}" sourceName="Region">
  <pivotTables>
    <pivotTable tabId="8" name="MonthSales"/>
    <pivotTable tabId="8" name="CategorySales"/>
    <pivotTable tabId="8" name="Discount"/>
    <pivotTable tabId="8" name="RegionWiseSales"/>
    <pivotTable tabId="8" name="TopPerformer"/>
  </pivotTables>
  <data>
    <tabular pivotCacheId="1392852398">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C1E1508-E046-4DAD-821E-FBE50815AA2E}" sourceName="Category">
  <pivotTables>
    <pivotTable tabId="8" name="MonthSales"/>
    <pivotTable tabId="8" name="CategorySales"/>
    <pivotTable tabId="8" name="Discount"/>
    <pivotTable tabId="8" name="RegionWiseSales"/>
    <pivotTable tabId="8" name="TopPerformer"/>
  </pivotTables>
  <data>
    <tabular pivotCacheId="1392852398">
      <items count="5">
        <i x="3" s="1"/>
        <i x="1" s="1"/>
        <i x="0"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94A78271-51D0-413E-B78B-B1DA5B33D916}" cache="Slicer_Quarter" caption="Quarter" rowHeight="234950"/>
  <slicer name="Region" xr10:uid="{96A264AC-E23B-4EFB-961B-77C59541493A}" cache="Slicer_Region" caption="Region" rowHeight="234950"/>
  <slicer name="Category" xr10:uid="{C9F66D21-3B89-49D3-9EAB-C0B12FC5C3E3}"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7" Type="http://schemas.openxmlformats.org/officeDocument/2006/relationships/printerSettings" Target="../printerSettings/printerSettings2.bin"/><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P1201"/>
  <sheetViews>
    <sheetView topLeftCell="CD1" zoomScale="110" zoomScaleNormal="110" workbookViewId="0">
      <pane ySplit="1" topLeftCell="A2" activePane="bottomLeft" state="frozen"/>
      <selection pane="bottomLeft" activeCell="F9" sqref="F9"/>
    </sheetView>
  </sheetViews>
  <sheetFormatPr defaultRowHeight="14.4" x14ac:dyDescent="0.3"/>
  <cols>
    <col min="1" max="1" width="10" customWidth="1"/>
    <col min="2" max="2" width="14" customWidth="1"/>
    <col min="3" max="3" width="8" customWidth="1"/>
    <col min="4" max="4" width="12.21875" bestFit="1" customWidth="1"/>
    <col min="5" max="5" width="10" customWidth="1"/>
    <col min="6" max="7" width="18" customWidth="1"/>
    <col min="8" max="8" width="11" customWidth="1"/>
    <col min="9" max="10" width="16" customWidth="1"/>
    <col min="11" max="11" width="16.77734375" customWidth="1"/>
    <col min="12" max="12" width="16" customWidth="1"/>
    <col min="13" max="13" width="14" customWidth="1"/>
    <col min="14" max="14" width="13" customWidth="1"/>
    <col min="15" max="15" width="20.44140625" bestFit="1" customWidth="1"/>
    <col min="16" max="16" width="16" customWidth="1"/>
  </cols>
  <sheetData>
    <row r="1" spans="1:16" ht="31.9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s="2">
        <v>1643</v>
      </c>
      <c r="B2" s="2" t="s">
        <v>16</v>
      </c>
      <c r="C2" s="2" t="s">
        <v>17</v>
      </c>
      <c r="D2" s="2" t="s">
        <v>18</v>
      </c>
      <c r="E2" s="2" t="s">
        <v>19</v>
      </c>
      <c r="F2" s="2" t="s">
        <v>20</v>
      </c>
      <c r="G2" s="2" t="s">
        <v>21</v>
      </c>
      <c r="H2" s="2">
        <v>48</v>
      </c>
      <c r="I2" s="3">
        <v>120</v>
      </c>
      <c r="J2" s="3">
        <v>5760</v>
      </c>
      <c r="K2" s="2">
        <v>5</v>
      </c>
      <c r="L2" s="3">
        <v>5472</v>
      </c>
      <c r="M2" s="3">
        <v>3748.06</v>
      </c>
      <c r="N2" s="3">
        <v>1723.94</v>
      </c>
      <c r="O2" s="4">
        <v>31.5</v>
      </c>
      <c r="P2" s="2" t="s">
        <v>22</v>
      </c>
    </row>
    <row r="3" spans="1:16" x14ac:dyDescent="0.3">
      <c r="A3" s="5">
        <v>1102</v>
      </c>
      <c r="B3" s="5" t="s">
        <v>23</v>
      </c>
      <c r="C3" s="5" t="s">
        <v>24</v>
      </c>
      <c r="D3" s="5" t="s">
        <v>25</v>
      </c>
      <c r="E3" s="5" t="s">
        <v>26</v>
      </c>
      <c r="F3" s="5" t="s">
        <v>27</v>
      </c>
      <c r="G3" s="5" t="s">
        <v>28</v>
      </c>
      <c r="H3" s="5">
        <v>52</v>
      </c>
      <c r="I3" s="6">
        <v>8722</v>
      </c>
      <c r="J3" s="6">
        <v>453544</v>
      </c>
      <c r="K3" s="5">
        <v>15</v>
      </c>
      <c r="L3" s="6">
        <v>385512.4</v>
      </c>
      <c r="M3" s="6">
        <v>226619.89</v>
      </c>
      <c r="N3" s="6">
        <v>158892.51</v>
      </c>
      <c r="O3" s="7">
        <v>41.22</v>
      </c>
      <c r="P3" s="5" t="s">
        <v>29</v>
      </c>
    </row>
    <row r="4" spans="1:16" x14ac:dyDescent="0.3">
      <c r="A4" s="2">
        <v>1714</v>
      </c>
      <c r="B4" s="2" t="s">
        <v>30</v>
      </c>
      <c r="C4" s="2" t="s">
        <v>31</v>
      </c>
      <c r="D4" s="2" t="s">
        <v>18</v>
      </c>
      <c r="E4" s="2" t="s">
        <v>26</v>
      </c>
      <c r="F4" s="2" t="s">
        <v>32</v>
      </c>
      <c r="G4" s="2" t="s">
        <v>33</v>
      </c>
      <c r="H4" s="2">
        <v>135</v>
      </c>
      <c r="I4" s="3">
        <v>10522</v>
      </c>
      <c r="J4" s="3">
        <v>1420470</v>
      </c>
      <c r="K4" s="2">
        <v>20</v>
      </c>
      <c r="L4" s="3">
        <v>1136376</v>
      </c>
      <c r="M4" s="3">
        <v>724349.86</v>
      </c>
      <c r="N4" s="3">
        <v>412026.14</v>
      </c>
      <c r="O4" s="4">
        <v>36.26</v>
      </c>
      <c r="P4" s="2" t="s">
        <v>22</v>
      </c>
    </row>
    <row r="5" spans="1:16" x14ac:dyDescent="0.3">
      <c r="A5" s="5">
        <v>1933</v>
      </c>
      <c r="B5" s="5" t="s">
        <v>34</v>
      </c>
      <c r="C5" s="5" t="s">
        <v>35</v>
      </c>
      <c r="D5" s="5" t="s">
        <v>36</v>
      </c>
      <c r="E5" s="5" t="s">
        <v>19</v>
      </c>
      <c r="F5" s="5" t="s">
        <v>37</v>
      </c>
      <c r="G5" s="5" t="s">
        <v>38</v>
      </c>
      <c r="H5" s="5">
        <v>24</v>
      </c>
      <c r="I5" s="6">
        <v>2078</v>
      </c>
      <c r="J5" s="6">
        <v>49872</v>
      </c>
      <c r="K5" s="5">
        <v>0</v>
      </c>
      <c r="L5" s="6">
        <v>49872</v>
      </c>
      <c r="M5" s="6">
        <v>29712.13</v>
      </c>
      <c r="N5" s="6">
        <v>20159.87</v>
      </c>
      <c r="O5" s="7">
        <v>40.42</v>
      </c>
      <c r="P5" s="5" t="s">
        <v>39</v>
      </c>
    </row>
    <row r="6" spans="1:16" x14ac:dyDescent="0.3">
      <c r="A6" s="2">
        <v>1111</v>
      </c>
      <c r="B6" s="2" t="s">
        <v>23</v>
      </c>
      <c r="C6" s="2" t="s">
        <v>24</v>
      </c>
      <c r="D6" s="2" t="s">
        <v>25</v>
      </c>
      <c r="E6" s="2" t="s">
        <v>26</v>
      </c>
      <c r="F6" s="2" t="s">
        <v>32</v>
      </c>
      <c r="G6" s="2" t="s">
        <v>40</v>
      </c>
      <c r="H6" s="2">
        <v>60</v>
      </c>
      <c r="I6" s="3">
        <v>17742</v>
      </c>
      <c r="J6" s="3">
        <v>1064520</v>
      </c>
      <c r="K6" s="2">
        <v>10</v>
      </c>
      <c r="L6" s="3">
        <v>958068</v>
      </c>
      <c r="M6" s="3">
        <v>536847.18999999994</v>
      </c>
      <c r="N6" s="3">
        <v>421220.81</v>
      </c>
      <c r="O6" s="4">
        <v>43.97</v>
      </c>
      <c r="P6" s="2" t="s">
        <v>41</v>
      </c>
    </row>
    <row r="7" spans="1:16" x14ac:dyDescent="0.3">
      <c r="A7" s="5">
        <v>1658</v>
      </c>
      <c r="B7" s="5" t="s">
        <v>16</v>
      </c>
      <c r="C7" s="5" t="s">
        <v>17</v>
      </c>
      <c r="D7" s="5" t="s">
        <v>18</v>
      </c>
      <c r="E7" s="5" t="s">
        <v>42</v>
      </c>
      <c r="F7" s="5" t="s">
        <v>37</v>
      </c>
      <c r="G7" s="5" t="s">
        <v>38</v>
      </c>
      <c r="H7" s="5">
        <v>123</v>
      </c>
      <c r="I7" s="6">
        <v>1961</v>
      </c>
      <c r="J7" s="6">
        <v>241203</v>
      </c>
      <c r="K7" s="5">
        <v>20</v>
      </c>
      <c r="L7" s="6">
        <v>192962.4</v>
      </c>
      <c r="M7" s="6">
        <v>117224.17</v>
      </c>
      <c r="N7" s="6">
        <v>75738.23</v>
      </c>
      <c r="O7" s="7">
        <v>39.25</v>
      </c>
      <c r="P7" s="5" t="s">
        <v>43</v>
      </c>
    </row>
    <row r="8" spans="1:16" x14ac:dyDescent="0.3">
      <c r="A8" s="2">
        <v>1986</v>
      </c>
      <c r="B8" s="2" t="s">
        <v>34</v>
      </c>
      <c r="C8" s="2" t="s">
        <v>35</v>
      </c>
      <c r="D8" s="2" t="s">
        <v>36</v>
      </c>
      <c r="E8" s="2" t="s">
        <v>44</v>
      </c>
      <c r="F8" s="2" t="s">
        <v>32</v>
      </c>
      <c r="G8" s="2" t="s">
        <v>40</v>
      </c>
      <c r="H8" s="2">
        <v>43</v>
      </c>
      <c r="I8" s="3">
        <v>19294</v>
      </c>
      <c r="J8" s="3">
        <v>829642</v>
      </c>
      <c r="K8" s="2">
        <v>10</v>
      </c>
      <c r="L8" s="3">
        <v>746677.8</v>
      </c>
      <c r="M8" s="3">
        <v>469703.58</v>
      </c>
      <c r="N8" s="3">
        <v>276974.21999999997</v>
      </c>
      <c r="O8" s="4">
        <v>37.090000000000003</v>
      </c>
      <c r="P8" s="2" t="s">
        <v>45</v>
      </c>
    </row>
    <row r="9" spans="1:16" x14ac:dyDescent="0.3">
      <c r="A9" s="5">
        <v>2173</v>
      </c>
      <c r="B9" s="5" t="s">
        <v>46</v>
      </c>
      <c r="C9" s="5" t="s">
        <v>47</v>
      </c>
      <c r="D9" s="5" t="s">
        <v>36</v>
      </c>
      <c r="E9" s="5" t="s">
        <v>42</v>
      </c>
      <c r="F9" s="5" t="s">
        <v>48</v>
      </c>
      <c r="G9" s="5" t="s">
        <v>49</v>
      </c>
      <c r="H9" s="5">
        <v>75</v>
      </c>
      <c r="I9" s="6">
        <v>862</v>
      </c>
      <c r="J9" s="6">
        <v>64650</v>
      </c>
      <c r="K9" s="5">
        <v>15</v>
      </c>
      <c r="L9" s="6">
        <v>54952.5</v>
      </c>
      <c r="M9" s="6">
        <v>36848.550000000003</v>
      </c>
      <c r="N9" s="6">
        <v>18103.95</v>
      </c>
      <c r="O9" s="7">
        <v>32.94</v>
      </c>
      <c r="P9" s="5" t="s">
        <v>50</v>
      </c>
    </row>
    <row r="10" spans="1:16" x14ac:dyDescent="0.3">
      <c r="A10" s="2">
        <v>1199</v>
      </c>
      <c r="B10" s="2" t="s">
        <v>23</v>
      </c>
      <c r="C10" s="2" t="s">
        <v>24</v>
      </c>
      <c r="D10" s="2" t="s">
        <v>25</v>
      </c>
      <c r="E10" s="2" t="s">
        <v>44</v>
      </c>
      <c r="F10" s="2" t="s">
        <v>48</v>
      </c>
      <c r="G10" s="2" t="s">
        <v>51</v>
      </c>
      <c r="H10" s="2">
        <v>23</v>
      </c>
      <c r="I10" s="3">
        <v>1910</v>
      </c>
      <c r="J10" s="3">
        <v>43930</v>
      </c>
      <c r="K10" s="2">
        <v>0</v>
      </c>
      <c r="L10" s="3">
        <v>43930</v>
      </c>
      <c r="M10" s="3">
        <v>30415.01</v>
      </c>
      <c r="N10" s="3">
        <v>13514.99</v>
      </c>
      <c r="O10" s="4">
        <v>30.76</v>
      </c>
      <c r="P10" s="2" t="s">
        <v>39</v>
      </c>
    </row>
    <row r="11" spans="1:16" x14ac:dyDescent="0.3">
      <c r="A11" s="5">
        <v>1277</v>
      </c>
      <c r="B11" s="5" t="s">
        <v>52</v>
      </c>
      <c r="C11" s="5" t="s">
        <v>53</v>
      </c>
      <c r="D11" s="5" t="s">
        <v>25</v>
      </c>
      <c r="E11" s="5" t="s">
        <v>44</v>
      </c>
      <c r="F11" s="5" t="s">
        <v>27</v>
      </c>
      <c r="G11" s="5" t="s">
        <v>28</v>
      </c>
      <c r="H11" s="5">
        <v>115</v>
      </c>
      <c r="I11" s="6">
        <v>8078</v>
      </c>
      <c r="J11" s="6">
        <v>928970</v>
      </c>
      <c r="K11" s="5">
        <v>15</v>
      </c>
      <c r="L11" s="6">
        <v>789624.5</v>
      </c>
      <c r="M11" s="6">
        <v>447462.86</v>
      </c>
      <c r="N11" s="6">
        <v>342161.64</v>
      </c>
      <c r="O11" s="7">
        <v>43.33</v>
      </c>
      <c r="P11" s="5" t="s">
        <v>50</v>
      </c>
    </row>
    <row r="12" spans="1:16" x14ac:dyDescent="0.3">
      <c r="A12" s="2">
        <v>1418</v>
      </c>
      <c r="B12" s="2" t="s">
        <v>54</v>
      </c>
      <c r="C12" s="2" t="s">
        <v>55</v>
      </c>
      <c r="D12" s="2" t="s">
        <v>56</v>
      </c>
      <c r="E12" s="2" t="s">
        <v>26</v>
      </c>
      <c r="F12" s="2" t="s">
        <v>20</v>
      </c>
      <c r="G12" s="2" t="s">
        <v>21</v>
      </c>
      <c r="H12" s="2">
        <v>101</v>
      </c>
      <c r="I12" s="3">
        <v>128</v>
      </c>
      <c r="J12" s="3">
        <v>12928</v>
      </c>
      <c r="K12" s="2">
        <v>0</v>
      </c>
      <c r="L12" s="3">
        <v>12928</v>
      </c>
      <c r="M12" s="3">
        <v>8943.31</v>
      </c>
      <c r="N12" s="3">
        <v>3984.69</v>
      </c>
      <c r="O12" s="4">
        <v>30.82</v>
      </c>
      <c r="P12" s="2" t="s">
        <v>43</v>
      </c>
    </row>
    <row r="13" spans="1:16" x14ac:dyDescent="0.3">
      <c r="A13" s="5">
        <v>1381</v>
      </c>
      <c r="B13" s="5" t="s">
        <v>57</v>
      </c>
      <c r="C13" s="5" t="s">
        <v>58</v>
      </c>
      <c r="D13" s="5" t="s">
        <v>56</v>
      </c>
      <c r="E13" s="5" t="s">
        <v>44</v>
      </c>
      <c r="F13" s="5" t="s">
        <v>37</v>
      </c>
      <c r="G13" s="5" t="s">
        <v>59</v>
      </c>
      <c r="H13" s="5">
        <v>35</v>
      </c>
      <c r="I13" s="6">
        <v>471</v>
      </c>
      <c r="J13" s="6">
        <v>16485</v>
      </c>
      <c r="K13" s="5">
        <v>20</v>
      </c>
      <c r="L13" s="6">
        <v>13188</v>
      </c>
      <c r="M13" s="6">
        <v>7433.3</v>
      </c>
      <c r="N13" s="6">
        <v>5754.7</v>
      </c>
      <c r="O13" s="7">
        <v>43.64</v>
      </c>
      <c r="P13" s="5" t="s">
        <v>39</v>
      </c>
    </row>
    <row r="14" spans="1:16" x14ac:dyDescent="0.3">
      <c r="A14" s="2">
        <v>1395</v>
      </c>
      <c r="B14" s="2" t="s">
        <v>57</v>
      </c>
      <c r="C14" s="2" t="s">
        <v>58</v>
      </c>
      <c r="D14" s="2" t="s">
        <v>56</v>
      </c>
      <c r="E14" s="2" t="s">
        <v>44</v>
      </c>
      <c r="F14" s="2" t="s">
        <v>20</v>
      </c>
      <c r="G14" s="2" t="s">
        <v>60</v>
      </c>
      <c r="H14" s="2">
        <v>72</v>
      </c>
      <c r="I14" s="3">
        <v>85</v>
      </c>
      <c r="J14" s="3">
        <v>6120</v>
      </c>
      <c r="K14" s="2">
        <v>5</v>
      </c>
      <c r="L14" s="3">
        <v>5814</v>
      </c>
      <c r="M14" s="3">
        <v>3855.6</v>
      </c>
      <c r="N14" s="3">
        <v>1958.4</v>
      </c>
      <c r="O14" s="4">
        <v>33.68</v>
      </c>
      <c r="P14" s="2" t="s">
        <v>43</v>
      </c>
    </row>
    <row r="15" spans="1:16" x14ac:dyDescent="0.3">
      <c r="A15" s="5">
        <v>1764</v>
      </c>
      <c r="B15" s="5" t="s">
        <v>30</v>
      </c>
      <c r="C15" s="5" t="s">
        <v>31</v>
      </c>
      <c r="D15" s="5" t="s">
        <v>18</v>
      </c>
      <c r="E15" s="5" t="s">
        <v>42</v>
      </c>
      <c r="F15" s="5" t="s">
        <v>32</v>
      </c>
      <c r="G15" s="5" t="s">
        <v>33</v>
      </c>
      <c r="H15" s="5">
        <v>159</v>
      </c>
      <c r="I15" s="6">
        <v>10103</v>
      </c>
      <c r="J15" s="6">
        <v>1606377</v>
      </c>
      <c r="K15" s="5">
        <v>20</v>
      </c>
      <c r="L15" s="6">
        <v>1285101.6000000001</v>
      </c>
      <c r="M15" s="6">
        <v>832856.64</v>
      </c>
      <c r="N15" s="6">
        <v>452244.96</v>
      </c>
      <c r="O15" s="7">
        <v>35.19</v>
      </c>
      <c r="P15" s="5" t="s">
        <v>61</v>
      </c>
    </row>
    <row r="16" spans="1:16" x14ac:dyDescent="0.3">
      <c r="A16" s="2">
        <v>1091</v>
      </c>
      <c r="B16" s="2" t="s">
        <v>62</v>
      </c>
      <c r="C16" s="2" t="s">
        <v>63</v>
      </c>
      <c r="D16" s="2" t="s">
        <v>25</v>
      </c>
      <c r="E16" s="2" t="s">
        <v>44</v>
      </c>
      <c r="F16" s="2" t="s">
        <v>20</v>
      </c>
      <c r="G16" s="2" t="s">
        <v>64</v>
      </c>
      <c r="H16" s="2">
        <v>61</v>
      </c>
      <c r="I16" s="3">
        <v>209</v>
      </c>
      <c r="J16" s="3">
        <v>12749</v>
      </c>
      <c r="K16" s="2">
        <v>5</v>
      </c>
      <c r="L16" s="3">
        <v>12111.55</v>
      </c>
      <c r="M16" s="3">
        <v>7154.99</v>
      </c>
      <c r="N16" s="3">
        <v>4956.5600000000004</v>
      </c>
      <c r="O16" s="4">
        <v>40.92</v>
      </c>
      <c r="P16" s="2" t="s">
        <v>41</v>
      </c>
    </row>
    <row r="17" spans="1:16" x14ac:dyDescent="0.3">
      <c r="A17" s="5">
        <v>1023</v>
      </c>
      <c r="B17" s="5" t="s">
        <v>62</v>
      </c>
      <c r="C17" s="5" t="s">
        <v>63</v>
      </c>
      <c r="D17" s="5" t="s">
        <v>25</v>
      </c>
      <c r="E17" s="5" t="s">
        <v>26</v>
      </c>
      <c r="F17" s="5" t="s">
        <v>48</v>
      </c>
      <c r="G17" s="5" t="s">
        <v>49</v>
      </c>
      <c r="H17" s="5">
        <v>30</v>
      </c>
      <c r="I17" s="6">
        <v>790</v>
      </c>
      <c r="J17" s="6">
        <v>23700</v>
      </c>
      <c r="K17" s="5">
        <v>20</v>
      </c>
      <c r="L17" s="6">
        <v>18960</v>
      </c>
      <c r="M17" s="6">
        <v>10437.23</v>
      </c>
      <c r="N17" s="6">
        <v>8522.77</v>
      </c>
      <c r="O17" s="7">
        <v>44.95</v>
      </c>
      <c r="P17" s="5" t="s">
        <v>50</v>
      </c>
    </row>
    <row r="18" spans="1:16" x14ac:dyDescent="0.3">
      <c r="A18" s="2">
        <v>1365</v>
      </c>
      <c r="B18" s="2" t="s">
        <v>57</v>
      </c>
      <c r="C18" s="2" t="s">
        <v>58</v>
      </c>
      <c r="D18" s="2" t="s">
        <v>56</v>
      </c>
      <c r="E18" s="2" t="s">
        <v>42</v>
      </c>
      <c r="F18" s="2" t="s">
        <v>32</v>
      </c>
      <c r="G18" s="2" t="s">
        <v>65</v>
      </c>
      <c r="H18" s="2">
        <v>128</v>
      </c>
      <c r="I18" s="3">
        <v>4686</v>
      </c>
      <c r="J18" s="3">
        <v>599808</v>
      </c>
      <c r="K18" s="2">
        <v>5</v>
      </c>
      <c r="L18" s="3">
        <v>569817.59999999998</v>
      </c>
      <c r="M18" s="3">
        <v>388337.23</v>
      </c>
      <c r="N18" s="3">
        <v>181480.37</v>
      </c>
      <c r="O18" s="4">
        <v>31.85</v>
      </c>
      <c r="P18" s="2" t="s">
        <v>43</v>
      </c>
    </row>
    <row r="19" spans="1:16" x14ac:dyDescent="0.3">
      <c r="A19" s="5">
        <v>1499</v>
      </c>
      <c r="B19" s="5" t="s">
        <v>54</v>
      </c>
      <c r="C19" s="5" t="s">
        <v>55</v>
      </c>
      <c r="D19" s="5" t="s">
        <v>56</v>
      </c>
      <c r="E19" s="5" t="s">
        <v>44</v>
      </c>
      <c r="F19" s="5" t="s">
        <v>48</v>
      </c>
      <c r="G19" s="5" t="s">
        <v>51</v>
      </c>
      <c r="H19" s="5">
        <v>100</v>
      </c>
      <c r="I19" s="6">
        <v>2148</v>
      </c>
      <c r="J19" s="6">
        <v>214800</v>
      </c>
      <c r="K19" s="5">
        <v>0</v>
      </c>
      <c r="L19" s="6">
        <v>214800</v>
      </c>
      <c r="M19" s="6">
        <v>141690.63</v>
      </c>
      <c r="N19" s="6">
        <v>73109.37</v>
      </c>
      <c r="O19" s="7">
        <v>34.04</v>
      </c>
      <c r="P19" s="5" t="s">
        <v>39</v>
      </c>
    </row>
    <row r="20" spans="1:16" x14ac:dyDescent="0.3">
      <c r="A20" s="2">
        <v>1227</v>
      </c>
      <c r="B20" s="2" t="s">
        <v>52</v>
      </c>
      <c r="C20" s="2" t="s">
        <v>53</v>
      </c>
      <c r="D20" s="2" t="s">
        <v>25</v>
      </c>
      <c r="E20" s="2" t="s">
        <v>19</v>
      </c>
      <c r="F20" s="2" t="s">
        <v>27</v>
      </c>
      <c r="G20" s="2" t="s">
        <v>28</v>
      </c>
      <c r="H20" s="2">
        <v>34</v>
      </c>
      <c r="I20" s="3">
        <v>7699</v>
      </c>
      <c r="J20" s="3">
        <v>261766</v>
      </c>
      <c r="K20" s="2">
        <v>10</v>
      </c>
      <c r="L20" s="3">
        <v>235589.4</v>
      </c>
      <c r="M20" s="3">
        <v>157026.31</v>
      </c>
      <c r="N20" s="3">
        <v>78563.09</v>
      </c>
      <c r="O20" s="4">
        <v>33.35</v>
      </c>
      <c r="P20" s="2" t="s">
        <v>29</v>
      </c>
    </row>
    <row r="21" spans="1:16" x14ac:dyDescent="0.3">
      <c r="A21" s="5">
        <v>1129</v>
      </c>
      <c r="B21" s="5" t="s">
        <v>23</v>
      </c>
      <c r="C21" s="5" t="s">
        <v>24</v>
      </c>
      <c r="D21" s="5" t="s">
        <v>25</v>
      </c>
      <c r="E21" s="5" t="s">
        <v>19</v>
      </c>
      <c r="F21" s="5" t="s">
        <v>27</v>
      </c>
      <c r="G21" s="5" t="s">
        <v>66</v>
      </c>
      <c r="H21" s="5">
        <v>65</v>
      </c>
      <c r="I21" s="6">
        <v>790</v>
      </c>
      <c r="J21" s="6">
        <v>51350</v>
      </c>
      <c r="K21" s="5">
        <v>0</v>
      </c>
      <c r="L21" s="6">
        <v>51350</v>
      </c>
      <c r="M21" s="6">
        <v>35679.25</v>
      </c>
      <c r="N21" s="6">
        <v>15670.75</v>
      </c>
      <c r="O21" s="7">
        <v>30.52</v>
      </c>
      <c r="P21" s="5" t="s">
        <v>50</v>
      </c>
    </row>
    <row r="22" spans="1:16" x14ac:dyDescent="0.3">
      <c r="A22" s="2">
        <v>1160</v>
      </c>
      <c r="B22" s="2" t="s">
        <v>23</v>
      </c>
      <c r="C22" s="2" t="s">
        <v>24</v>
      </c>
      <c r="D22" s="2" t="s">
        <v>25</v>
      </c>
      <c r="E22" s="2" t="s">
        <v>42</v>
      </c>
      <c r="F22" s="2" t="s">
        <v>37</v>
      </c>
      <c r="G22" s="2" t="s">
        <v>67</v>
      </c>
      <c r="H22" s="2">
        <v>118</v>
      </c>
      <c r="I22" s="3">
        <v>1781</v>
      </c>
      <c r="J22" s="3">
        <v>210158</v>
      </c>
      <c r="K22" s="2">
        <v>20</v>
      </c>
      <c r="L22" s="3">
        <v>168126.4</v>
      </c>
      <c r="M22" s="3">
        <v>101173.19</v>
      </c>
      <c r="N22" s="3">
        <v>66953.210000000006</v>
      </c>
      <c r="O22" s="4">
        <v>39.82</v>
      </c>
      <c r="P22" s="2" t="s">
        <v>22</v>
      </c>
    </row>
    <row r="23" spans="1:16" x14ac:dyDescent="0.3">
      <c r="A23" s="5">
        <v>1494</v>
      </c>
      <c r="B23" s="5" t="s">
        <v>54</v>
      </c>
      <c r="C23" s="5" t="s">
        <v>55</v>
      </c>
      <c r="D23" s="5" t="s">
        <v>56</v>
      </c>
      <c r="E23" s="5" t="s">
        <v>44</v>
      </c>
      <c r="F23" s="5" t="s">
        <v>20</v>
      </c>
      <c r="G23" s="5" t="s">
        <v>68</v>
      </c>
      <c r="H23" s="5">
        <v>146</v>
      </c>
      <c r="I23" s="6">
        <v>165</v>
      </c>
      <c r="J23" s="6">
        <v>24090</v>
      </c>
      <c r="K23" s="5">
        <v>0</v>
      </c>
      <c r="L23" s="6">
        <v>24090</v>
      </c>
      <c r="M23" s="6">
        <v>15784.1</v>
      </c>
      <c r="N23" s="6">
        <v>8305.9</v>
      </c>
      <c r="O23" s="7">
        <v>34.479999999999997</v>
      </c>
      <c r="P23" s="5" t="s">
        <v>61</v>
      </c>
    </row>
    <row r="24" spans="1:16" x14ac:dyDescent="0.3">
      <c r="A24" s="2">
        <v>2146</v>
      </c>
      <c r="B24" s="2" t="s">
        <v>46</v>
      </c>
      <c r="C24" s="2" t="s">
        <v>47</v>
      </c>
      <c r="D24" s="2" t="s">
        <v>36</v>
      </c>
      <c r="E24" s="2" t="s">
        <v>19</v>
      </c>
      <c r="F24" s="2" t="s">
        <v>48</v>
      </c>
      <c r="G24" s="2" t="s">
        <v>69</v>
      </c>
      <c r="H24" s="2">
        <v>121</v>
      </c>
      <c r="I24" s="3">
        <v>1182</v>
      </c>
      <c r="J24" s="3">
        <v>143022</v>
      </c>
      <c r="K24" s="2">
        <v>0</v>
      </c>
      <c r="L24" s="3">
        <v>143022</v>
      </c>
      <c r="M24" s="3">
        <v>80021.58</v>
      </c>
      <c r="N24" s="3">
        <v>63000.42</v>
      </c>
      <c r="O24" s="4">
        <v>44.05</v>
      </c>
      <c r="P24" s="2" t="s">
        <v>41</v>
      </c>
    </row>
    <row r="25" spans="1:16" x14ac:dyDescent="0.3">
      <c r="A25" s="5">
        <v>1616</v>
      </c>
      <c r="B25" s="5" t="s">
        <v>16</v>
      </c>
      <c r="C25" s="5" t="s">
        <v>17</v>
      </c>
      <c r="D25" s="5" t="s">
        <v>18</v>
      </c>
      <c r="E25" s="5" t="s">
        <v>26</v>
      </c>
      <c r="F25" s="5" t="s">
        <v>20</v>
      </c>
      <c r="G25" s="5" t="s">
        <v>64</v>
      </c>
      <c r="H25" s="5">
        <v>116</v>
      </c>
      <c r="I25" s="6">
        <v>214</v>
      </c>
      <c r="J25" s="6">
        <v>24824</v>
      </c>
      <c r="K25" s="5">
        <v>20</v>
      </c>
      <c r="L25" s="6">
        <v>19859.2</v>
      </c>
      <c r="M25" s="6">
        <v>13654.68</v>
      </c>
      <c r="N25" s="6">
        <v>6204.52</v>
      </c>
      <c r="O25" s="7">
        <v>31.24</v>
      </c>
      <c r="P25" s="5" t="s">
        <v>43</v>
      </c>
    </row>
    <row r="26" spans="1:16" x14ac:dyDescent="0.3">
      <c r="A26" s="2">
        <v>1850</v>
      </c>
      <c r="B26" s="2" t="s">
        <v>70</v>
      </c>
      <c r="C26" s="2" t="s">
        <v>71</v>
      </c>
      <c r="D26" s="2" t="s">
        <v>18</v>
      </c>
      <c r="E26" s="2" t="s">
        <v>19</v>
      </c>
      <c r="F26" s="2" t="s">
        <v>48</v>
      </c>
      <c r="G26" s="2" t="s">
        <v>72</v>
      </c>
      <c r="H26" s="2">
        <v>33</v>
      </c>
      <c r="I26" s="3">
        <v>3195</v>
      </c>
      <c r="J26" s="3">
        <v>105435</v>
      </c>
      <c r="K26" s="2">
        <v>20</v>
      </c>
      <c r="L26" s="3">
        <v>84348</v>
      </c>
      <c r="M26" s="3">
        <v>53330.29</v>
      </c>
      <c r="N26" s="3">
        <v>31017.71</v>
      </c>
      <c r="O26" s="4">
        <v>36.770000000000003</v>
      </c>
      <c r="P26" s="2" t="s">
        <v>43</v>
      </c>
    </row>
    <row r="27" spans="1:16" x14ac:dyDescent="0.3">
      <c r="A27" s="5">
        <v>1020</v>
      </c>
      <c r="B27" s="5" t="s">
        <v>62</v>
      </c>
      <c r="C27" s="5" t="s">
        <v>63</v>
      </c>
      <c r="D27" s="5" t="s">
        <v>25</v>
      </c>
      <c r="E27" s="5" t="s">
        <v>26</v>
      </c>
      <c r="F27" s="5" t="s">
        <v>20</v>
      </c>
      <c r="G27" s="5" t="s">
        <v>60</v>
      </c>
      <c r="H27" s="5">
        <v>89</v>
      </c>
      <c r="I27" s="6">
        <v>95</v>
      </c>
      <c r="J27" s="6">
        <v>8455</v>
      </c>
      <c r="K27" s="5">
        <v>15</v>
      </c>
      <c r="L27" s="6">
        <v>7186.75</v>
      </c>
      <c r="M27" s="6">
        <v>4595.6499999999996</v>
      </c>
      <c r="N27" s="6">
        <v>2591.1</v>
      </c>
      <c r="O27" s="7">
        <v>36.049999999999997</v>
      </c>
      <c r="P27" s="5" t="s">
        <v>22</v>
      </c>
    </row>
    <row r="28" spans="1:16" x14ac:dyDescent="0.3">
      <c r="A28" s="5">
        <v>1071</v>
      </c>
      <c r="B28" s="5" t="s">
        <v>62</v>
      </c>
      <c r="C28" s="5" t="s">
        <v>63</v>
      </c>
      <c r="D28" s="5" t="s">
        <v>25</v>
      </c>
      <c r="E28" s="5" t="s">
        <v>42</v>
      </c>
      <c r="F28" s="5" t="s">
        <v>48</v>
      </c>
      <c r="G28" s="5" t="s">
        <v>69</v>
      </c>
      <c r="H28" s="5">
        <v>112</v>
      </c>
      <c r="I28" s="6">
        <v>1143</v>
      </c>
      <c r="J28" s="6">
        <v>128016</v>
      </c>
      <c r="K28" s="5">
        <v>5</v>
      </c>
      <c r="L28" s="6">
        <v>121615.2</v>
      </c>
      <c r="M28" s="6">
        <v>67586.259999999995</v>
      </c>
      <c r="N28" s="6">
        <v>54028.94</v>
      </c>
      <c r="O28" s="7">
        <v>44.43</v>
      </c>
      <c r="P28" s="5" t="s">
        <v>22</v>
      </c>
    </row>
    <row r="29" spans="1:16" x14ac:dyDescent="0.3">
      <c r="A29" s="2">
        <v>1662</v>
      </c>
      <c r="B29" s="2" t="s">
        <v>16</v>
      </c>
      <c r="C29" s="2" t="s">
        <v>17</v>
      </c>
      <c r="D29" s="2" t="s">
        <v>18</v>
      </c>
      <c r="E29" s="2" t="s">
        <v>42</v>
      </c>
      <c r="F29" s="2" t="s">
        <v>32</v>
      </c>
      <c r="G29" s="2" t="s">
        <v>75</v>
      </c>
      <c r="H29" s="2">
        <v>70</v>
      </c>
      <c r="I29" s="3">
        <v>11498</v>
      </c>
      <c r="J29" s="3">
        <v>804860</v>
      </c>
      <c r="K29" s="2">
        <v>10</v>
      </c>
      <c r="L29" s="3">
        <v>724374</v>
      </c>
      <c r="M29" s="3">
        <v>445526.07</v>
      </c>
      <c r="N29" s="3">
        <v>278847.93</v>
      </c>
      <c r="O29" s="4">
        <v>38.5</v>
      </c>
      <c r="P29" s="2" t="s">
        <v>61</v>
      </c>
    </row>
    <row r="30" spans="1:16" x14ac:dyDescent="0.3">
      <c r="A30" s="5">
        <v>2031</v>
      </c>
      <c r="B30" s="5" t="s">
        <v>76</v>
      </c>
      <c r="C30" s="5" t="s">
        <v>77</v>
      </c>
      <c r="D30" s="5" t="s">
        <v>36</v>
      </c>
      <c r="E30" s="5" t="s">
        <v>19</v>
      </c>
      <c r="F30" s="5" t="s">
        <v>37</v>
      </c>
      <c r="G30" s="5" t="s">
        <v>59</v>
      </c>
      <c r="H30" s="5">
        <v>154</v>
      </c>
      <c r="I30" s="6">
        <v>521</v>
      </c>
      <c r="J30" s="6">
        <v>80234</v>
      </c>
      <c r="K30" s="5">
        <v>20</v>
      </c>
      <c r="L30" s="6">
        <v>64187.199999999997</v>
      </c>
      <c r="M30" s="6">
        <v>36403.67</v>
      </c>
      <c r="N30" s="6">
        <v>27783.53</v>
      </c>
      <c r="O30" s="7">
        <v>43.29</v>
      </c>
      <c r="P30" s="5" t="s">
        <v>39</v>
      </c>
    </row>
    <row r="31" spans="1:16" x14ac:dyDescent="0.3">
      <c r="A31" s="2">
        <v>1611</v>
      </c>
      <c r="B31" s="2" t="s">
        <v>16</v>
      </c>
      <c r="C31" s="2" t="s">
        <v>17</v>
      </c>
      <c r="D31" s="2" t="s">
        <v>18</v>
      </c>
      <c r="E31" s="2" t="s">
        <v>26</v>
      </c>
      <c r="F31" s="2" t="s">
        <v>32</v>
      </c>
      <c r="G31" s="2" t="s">
        <v>40</v>
      </c>
      <c r="H31" s="2">
        <v>119</v>
      </c>
      <c r="I31" s="3">
        <v>17048</v>
      </c>
      <c r="J31" s="3">
        <v>2028712</v>
      </c>
      <c r="K31" s="2">
        <v>5</v>
      </c>
      <c r="L31" s="3">
        <v>1927276.4</v>
      </c>
      <c r="M31" s="3">
        <v>1082827.25</v>
      </c>
      <c r="N31" s="3">
        <v>844449.15</v>
      </c>
      <c r="O31" s="4">
        <v>43.82</v>
      </c>
      <c r="P31" s="2" t="s">
        <v>43</v>
      </c>
    </row>
    <row r="32" spans="1:16" x14ac:dyDescent="0.3">
      <c r="A32" s="5">
        <v>1172</v>
      </c>
      <c r="B32" s="5" t="s">
        <v>23</v>
      </c>
      <c r="C32" s="5" t="s">
        <v>24</v>
      </c>
      <c r="D32" s="5" t="s">
        <v>25</v>
      </c>
      <c r="E32" s="5" t="s">
        <v>42</v>
      </c>
      <c r="F32" s="5" t="s">
        <v>48</v>
      </c>
      <c r="G32" s="5" t="s">
        <v>78</v>
      </c>
      <c r="H32" s="5">
        <v>67</v>
      </c>
      <c r="I32" s="6">
        <v>569</v>
      </c>
      <c r="J32" s="6">
        <v>38123</v>
      </c>
      <c r="K32" s="5">
        <v>15</v>
      </c>
      <c r="L32" s="6">
        <v>32404.55</v>
      </c>
      <c r="M32" s="6">
        <v>20573.3</v>
      </c>
      <c r="N32" s="6">
        <v>11831.25</v>
      </c>
      <c r="O32" s="7">
        <v>36.51</v>
      </c>
      <c r="P32" s="5" t="s">
        <v>61</v>
      </c>
    </row>
    <row r="33" spans="1:16" x14ac:dyDescent="0.3">
      <c r="A33" s="2">
        <v>1554</v>
      </c>
      <c r="B33" s="2" t="s">
        <v>73</v>
      </c>
      <c r="C33" s="2" t="s">
        <v>74</v>
      </c>
      <c r="D33" s="2" t="s">
        <v>56</v>
      </c>
      <c r="E33" s="2" t="s">
        <v>42</v>
      </c>
      <c r="F33" s="2" t="s">
        <v>27</v>
      </c>
      <c r="G33" s="2" t="s">
        <v>66</v>
      </c>
      <c r="H33" s="2">
        <v>34</v>
      </c>
      <c r="I33" s="3">
        <v>752</v>
      </c>
      <c r="J33" s="3">
        <v>25568</v>
      </c>
      <c r="K33" s="2">
        <v>0</v>
      </c>
      <c r="L33" s="3">
        <v>25568</v>
      </c>
      <c r="M33" s="3">
        <v>14658.43</v>
      </c>
      <c r="N33" s="3">
        <v>10909.57</v>
      </c>
      <c r="O33" s="4">
        <v>42.67</v>
      </c>
      <c r="P33" s="2" t="s">
        <v>61</v>
      </c>
    </row>
    <row r="34" spans="1:16" x14ac:dyDescent="0.3">
      <c r="A34" s="5">
        <v>1349</v>
      </c>
      <c r="B34" s="5" t="s">
        <v>57</v>
      </c>
      <c r="C34" s="5" t="s">
        <v>58</v>
      </c>
      <c r="D34" s="5" t="s">
        <v>56</v>
      </c>
      <c r="E34" s="5" t="s">
        <v>19</v>
      </c>
      <c r="F34" s="5" t="s">
        <v>48</v>
      </c>
      <c r="G34" s="5" t="s">
        <v>51</v>
      </c>
      <c r="H34" s="5">
        <v>88</v>
      </c>
      <c r="I34" s="6">
        <v>2199</v>
      </c>
      <c r="J34" s="6">
        <v>193512</v>
      </c>
      <c r="K34" s="5">
        <v>20</v>
      </c>
      <c r="L34" s="6">
        <v>154809.60000000001</v>
      </c>
      <c r="M34" s="6">
        <v>97347.62</v>
      </c>
      <c r="N34" s="6">
        <v>57461.98</v>
      </c>
      <c r="O34" s="7">
        <v>37.119999999999997</v>
      </c>
      <c r="P34" s="5" t="s">
        <v>41</v>
      </c>
    </row>
    <row r="35" spans="1:16" x14ac:dyDescent="0.3">
      <c r="A35" s="2">
        <v>1307</v>
      </c>
      <c r="B35" s="2" t="s">
        <v>57</v>
      </c>
      <c r="C35" s="2" t="s">
        <v>58</v>
      </c>
      <c r="D35" s="2" t="s">
        <v>56</v>
      </c>
      <c r="E35" s="2" t="s">
        <v>26</v>
      </c>
      <c r="F35" s="2" t="s">
        <v>37</v>
      </c>
      <c r="G35" s="2" t="s">
        <v>79</v>
      </c>
      <c r="H35" s="2">
        <v>143</v>
      </c>
      <c r="I35" s="3">
        <v>1188</v>
      </c>
      <c r="J35" s="3">
        <v>169884</v>
      </c>
      <c r="K35" s="2">
        <v>20</v>
      </c>
      <c r="L35" s="3">
        <v>135907.20000000001</v>
      </c>
      <c r="M35" s="3">
        <v>95079.23</v>
      </c>
      <c r="N35" s="3">
        <v>40827.97</v>
      </c>
      <c r="O35" s="4">
        <v>30.04</v>
      </c>
      <c r="P35" s="2" t="s">
        <v>41</v>
      </c>
    </row>
    <row r="36" spans="1:16" x14ac:dyDescent="0.3">
      <c r="A36" s="5">
        <v>2064</v>
      </c>
      <c r="B36" s="5" t="s">
        <v>76</v>
      </c>
      <c r="C36" s="5" t="s">
        <v>77</v>
      </c>
      <c r="D36" s="5" t="s">
        <v>36</v>
      </c>
      <c r="E36" s="5" t="s">
        <v>42</v>
      </c>
      <c r="F36" s="5" t="s">
        <v>32</v>
      </c>
      <c r="G36" s="5" t="s">
        <v>33</v>
      </c>
      <c r="H36" s="5">
        <v>69</v>
      </c>
      <c r="I36" s="6">
        <v>10469</v>
      </c>
      <c r="J36" s="6">
        <v>722361</v>
      </c>
      <c r="K36" s="5">
        <v>10</v>
      </c>
      <c r="L36" s="6">
        <v>650124.9</v>
      </c>
      <c r="M36" s="6">
        <v>362866.48</v>
      </c>
      <c r="N36" s="6">
        <v>287258.42</v>
      </c>
      <c r="O36" s="7">
        <v>44.19</v>
      </c>
      <c r="P36" s="5" t="s">
        <v>50</v>
      </c>
    </row>
    <row r="37" spans="1:16" x14ac:dyDescent="0.3">
      <c r="A37" s="2">
        <v>2037</v>
      </c>
      <c r="B37" s="2" t="s">
        <v>76</v>
      </c>
      <c r="C37" s="2" t="s">
        <v>77</v>
      </c>
      <c r="D37" s="2" t="s">
        <v>36</v>
      </c>
      <c r="E37" s="2" t="s">
        <v>19</v>
      </c>
      <c r="F37" s="2" t="s">
        <v>32</v>
      </c>
      <c r="G37" s="2" t="s">
        <v>75</v>
      </c>
      <c r="H37" s="2">
        <v>150</v>
      </c>
      <c r="I37" s="3">
        <v>12996</v>
      </c>
      <c r="J37" s="3">
        <v>1949400</v>
      </c>
      <c r="K37" s="2">
        <v>0</v>
      </c>
      <c r="L37" s="3">
        <v>1949400</v>
      </c>
      <c r="M37" s="3">
        <v>1242565.2</v>
      </c>
      <c r="N37" s="3">
        <v>706834.8</v>
      </c>
      <c r="O37" s="4">
        <v>36.26</v>
      </c>
      <c r="P37" s="2" t="s">
        <v>22</v>
      </c>
    </row>
    <row r="38" spans="1:16" x14ac:dyDescent="0.3">
      <c r="A38" s="5">
        <v>1524</v>
      </c>
      <c r="B38" s="5" t="s">
        <v>73</v>
      </c>
      <c r="C38" s="5" t="s">
        <v>74</v>
      </c>
      <c r="D38" s="5" t="s">
        <v>56</v>
      </c>
      <c r="E38" s="5" t="s">
        <v>26</v>
      </c>
      <c r="F38" s="5" t="s">
        <v>48</v>
      </c>
      <c r="G38" s="5" t="s">
        <v>51</v>
      </c>
      <c r="H38" s="5">
        <v>26</v>
      </c>
      <c r="I38" s="6">
        <v>1886</v>
      </c>
      <c r="J38" s="6">
        <v>49036</v>
      </c>
      <c r="K38" s="5">
        <v>0</v>
      </c>
      <c r="L38" s="6">
        <v>49036</v>
      </c>
      <c r="M38" s="6">
        <v>33947.72</v>
      </c>
      <c r="N38" s="6">
        <v>15088.28</v>
      </c>
      <c r="O38" s="7">
        <v>30.77</v>
      </c>
      <c r="P38" s="5" t="s">
        <v>22</v>
      </c>
    </row>
    <row r="39" spans="1:16" x14ac:dyDescent="0.3">
      <c r="A39" s="2">
        <v>1947</v>
      </c>
      <c r="B39" s="2" t="s">
        <v>34</v>
      </c>
      <c r="C39" s="2" t="s">
        <v>35</v>
      </c>
      <c r="D39" s="2" t="s">
        <v>36</v>
      </c>
      <c r="E39" s="2" t="s">
        <v>19</v>
      </c>
      <c r="F39" s="2" t="s">
        <v>48</v>
      </c>
      <c r="G39" s="2" t="s">
        <v>78</v>
      </c>
      <c r="H39" s="2">
        <v>130</v>
      </c>
      <c r="I39" s="3">
        <v>602</v>
      </c>
      <c r="J39" s="3">
        <v>78260</v>
      </c>
      <c r="K39" s="2">
        <v>5</v>
      </c>
      <c r="L39" s="3">
        <v>74347</v>
      </c>
      <c r="M39" s="3">
        <v>45544.97</v>
      </c>
      <c r="N39" s="3">
        <v>28802.03</v>
      </c>
      <c r="O39" s="4">
        <v>38.74</v>
      </c>
      <c r="P39" s="2" t="s">
        <v>61</v>
      </c>
    </row>
    <row r="40" spans="1:16" x14ac:dyDescent="0.3">
      <c r="A40" s="5">
        <v>2042</v>
      </c>
      <c r="B40" s="5" t="s">
        <v>76</v>
      </c>
      <c r="C40" s="5" t="s">
        <v>77</v>
      </c>
      <c r="D40" s="5" t="s">
        <v>36</v>
      </c>
      <c r="E40" s="5" t="s">
        <v>19</v>
      </c>
      <c r="F40" s="5" t="s">
        <v>20</v>
      </c>
      <c r="G40" s="5" t="s">
        <v>80</v>
      </c>
      <c r="H40" s="5">
        <v>50</v>
      </c>
      <c r="I40" s="6">
        <v>81</v>
      </c>
      <c r="J40" s="6">
        <v>4050</v>
      </c>
      <c r="K40" s="5">
        <v>10</v>
      </c>
      <c r="L40" s="6">
        <v>3645</v>
      </c>
      <c r="M40" s="6">
        <v>2464</v>
      </c>
      <c r="N40" s="6">
        <v>1181</v>
      </c>
      <c r="O40" s="7">
        <v>32.4</v>
      </c>
      <c r="P40" s="5" t="s">
        <v>61</v>
      </c>
    </row>
    <row r="41" spans="1:16" x14ac:dyDescent="0.3">
      <c r="A41" s="2">
        <v>1945</v>
      </c>
      <c r="B41" s="2" t="s">
        <v>34</v>
      </c>
      <c r="C41" s="2" t="s">
        <v>35</v>
      </c>
      <c r="D41" s="2" t="s">
        <v>36</v>
      </c>
      <c r="E41" s="2" t="s">
        <v>19</v>
      </c>
      <c r="F41" s="2" t="s">
        <v>20</v>
      </c>
      <c r="G41" s="2" t="s">
        <v>60</v>
      </c>
      <c r="H41" s="2">
        <v>153</v>
      </c>
      <c r="I41" s="3">
        <v>97</v>
      </c>
      <c r="J41" s="3">
        <v>14841</v>
      </c>
      <c r="K41" s="2">
        <v>0</v>
      </c>
      <c r="L41" s="3">
        <v>14841</v>
      </c>
      <c r="M41" s="3">
        <v>10264.34</v>
      </c>
      <c r="N41" s="3">
        <v>4576.66</v>
      </c>
      <c r="O41" s="4">
        <v>30.84</v>
      </c>
      <c r="P41" s="2" t="s">
        <v>50</v>
      </c>
    </row>
    <row r="42" spans="1:16" x14ac:dyDescent="0.3">
      <c r="A42" s="5">
        <v>2027</v>
      </c>
      <c r="B42" s="5" t="s">
        <v>76</v>
      </c>
      <c r="C42" s="5" t="s">
        <v>77</v>
      </c>
      <c r="D42" s="5" t="s">
        <v>36</v>
      </c>
      <c r="E42" s="5" t="s">
        <v>19</v>
      </c>
      <c r="F42" s="5" t="s">
        <v>27</v>
      </c>
      <c r="G42" s="5" t="s">
        <v>28</v>
      </c>
      <c r="H42" s="5">
        <v>163</v>
      </c>
      <c r="I42" s="6">
        <v>8052</v>
      </c>
      <c r="J42" s="6">
        <v>1312476</v>
      </c>
      <c r="K42" s="5">
        <v>15</v>
      </c>
      <c r="L42" s="6">
        <v>1115604.6000000001</v>
      </c>
      <c r="M42" s="6">
        <v>712403.22</v>
      </c>
      <c r="N42" s="6">
        <v>403201.38</v>
      </c>
      <c r="O42" s="7">
        <v>36.14</v>
      </c>
      <c r="P42" s="5" t="s">
        <v>45</v>
      </c>
    </row>
    <row r="43" spans="1:16" x14ac:dyDescent="0.3">
      <c r="A43" s="2">
        <v>1143</v>
      </c>
      <c r="B43" s="2" t="s">
        <v>23</v>
      </c>
      <c r="C43" s="2" t="s">
        <v>24</v>
      </c>
      <c r="D43" s="2" t="s">
        <v>25</v>
      </c>
      <c r="E43" s="2" t="s">
        <v>19</v>
      </c>
      <c r="F43" s="2" t="s">
        <v>20</v>
      </c>
      <c r="G43" s="2" t="s">
        <v>21</v>
      </c>
      <c r="H43" s="2">
        <v>93</v>
      </c>
      <c r="I43" s="3">
        <v>122</v>
      </c>
      <c r="J43" s="3">
        <v>11346</v>
      </c>
      <c r="K43" s="2">
        <v>0</v>
      </c>
      <c r="L43" s="3">
        <v>11346</v>
      </c>
      <c r="M43" s="3">
        <v>6395.73</v>
      </c>
      <c r="N43" s="3">
        <v>4950.2700000000004</v>
      </c>
      <c r="O43" s="4">
        <v>43.63</v>
      </c>
      <c r="P43" s="2" t="s">
        <v>43</v>
      </c>
    </row>
    <row r="44" spans="1:16" x14ac:dyDescent="0.3">
      <c r="A44" s="5">
        <v>1064</v>
      </c>
      <c r="B44" s="5" t="s">
        <v>62</v>
      </c>
      <c r="C44" s="5" t="s">
        <v>63</v>
      </c>
      <c r="D44" s="5" t="s">
        <v>25</v>
      </c>
      <c r="E44" s="5" t="s">
        <v>42</v>
      </c>
      <c r="F44" s="5" t="s">
        <v>32</v>
      </c>
      <c r="G44" s="5" t="s">
        <v>33</v>
      </c>
      <c r="H44" s="5">
        <v>123</v>
      </c>
      <c r="I44" s="6">
        <v>10499</v>
      </c>
      <c r="J44" s="6">
        <v>1291377</v>
      </c>
      <c r="K44" s="5">
        <v>5</v>
      </c>
      <c r="L44" s="6">
        <v>1226808.1499999999</v>
      </c>
      <c r="M44" s="6">
        <v>833850.28</v>
      </c>
      <c r="N44" s="6">
        <v>392957.87</v>
      </c>
      <c r="O44" s="7">
        <v>32.03</v>
      </c>
      <c r="P44" s="5" t="s">
        <v>61</v>
      </c>
    </row>
    <row r="45" spans="1:16" x14ac:dyDescent="0.3">
      <c r="A45" s="2">
        <v>1461</v>
      </c>
      <c r="B45" s="2" t="s">
        <v>54</v>
      </c>
      <c r="C45" s="2" t="s">
        <v>55</v>
      </c>
      <c r="D45" s="2" t="s">
        <v>56</v>
      </c>
      <c r="E45" s="2" t="s">
        <v>42</v>
      </c>
      <c r="F45" s="2" t="s">
        <v>32</v>
      </c>
      <c r="G45" s="2" t="s">
        <v>40</v>
      </c>
      <c r="H45" s="2">
        <v>102</v>
      </c>
      <c r="I45" s="3">
        <v>18522</v>
      </c>
      <c r="J45" s="3">
        <v>1889244</v>
      </c>
      <c r="K45" s="2">
        <v>15</v>
      </c>
      <c r="L45" s="3">
        <v>1605857.4</v>
      </c>
      <c r="M45" s="3">
        <v>1116105.69</v>
      </c>
      <c r="N45" s="3">
        <v>489751.71</v>
      </c>
      <c r="O45" s="4">
        <v>30.5</v>
      </c>
      <c r="P45" s="2" t="s">
        <v>41</v>
      </c>
    </row>
    <row r="46" spans="1:16" x14ac:dyDescent="0.3">
      <c r="A46" s="2">
        <v>1232</v>
      </c>
      <c r="B46" s="2" t="s">
        <v>52</v>
      </c>
      <c r="C46" s="2" t="s">
        <v>53</v>
      </c>
      <c r="D46" s="2" t="s">
        <v>25</v>
      </c>
      <c r="E46" s="2" t="s">
        <v>19</v>
      </c>
      <c r="F46" s="2" t="s">
        <v>37</v>
      </c>
      <c r="G46" s="2" t="s">
        <v>79</v>
      </c>
      <c r="H46" s="2">
        <v>17</v>
      </c>
      <c r="I46" s="3">
        <v>1152</v>
      </c>
      <c r="J46" s="3">
        <v>19584</v>
      </c>
      <c r="K46" s="2">
        <v>5</v>
      </c>
      <c r="L46" s="3">
        <v>18604.8</v>
      </c>
      <c r="M46" s="3">
        <v>12374.1</v>
      </c>
      <c r="N46" s="3">
        <v>6230.7</v>
      </c>
      <c r="O46" s="4">
        <v>33.49</v>
      </c>
      <c r="P46" s="2" t="s">
        <v>50</v>
      </c>
    </row>
    <row r="47" spans="1:16" x14ac:dyDescent="0.3">
      <c r="A47" s="5">
        <v>2083</v>
      </c>
      <c r="B47" s="5" t="s">
        <v>76</v>
      </c>
      <c r="C47" s="5" t="s">
        <v>77</v>
      </c>
      <c r="D47" s="5" t="s">
        <v>36</v>
      </c>
      <c r="E47" s="5" t="s">
        <v>44</v>
      </c>
      <c r="F47" s="5" t="s">
        <v>37</v>
      </c>
      <c r="G47" s="5" t="s">
        <v>38</v>
      </c>
      <c r="H47" s="5">
        <v>194</v>
      </c>
      <c r="I47" s="6">
        <v>2086</v>
      </c>
      <c r="J47" s="6">
        <v>404684</v>
      </c>
      <c r="K47" s="5">
        <v>0</v>
      </c>
      <c r="L47" s="6">
        <v>404684</v>
      </c>
      <c r="M47" s="6">
        <v>224692.35</v>
      </c>
      <c r="N47" s="6">
        <v>179991.65</v>
      </c>
      <c r="O47" s="7">
        <v>44.48</v>
      </c>
      <c r="P47" s="5" t="s">
        <v>29</v>
      </c>
    </row>
    <row r="48" spans="1:16" x14ac:dyDescent="0.3">
      <c r="A48" s="2">
        <v>1998</v>
      </c>
      <c r="B48" s="2" t="s">
        <v>34</v>
      </c>
      <c r="C48" s="2" t="s">
        <v>35</v>
      </c>
      <c r="D48" s="2" t="s">
        <v>36</v>
      </c>
      <c r="E48" s="2" t="s">
        <v>44</v>
      </c>
      <c r="F48" s="2" t="s">
        <v>48</v>
      </c>
      <c r="G48" s="2" t="s">
        <v>49</v>
      </c>
      <c r="H48" s="2">
        <v>163</v>
      </c>
      <c r="I48" s="3">
        <v>806</v>
      </c>
      <c r="J48" s="3">
        <v>131378</v>
      </c>
      <c r="K48" s="2">
        <v>10</v>
      </c>
      <c r="L48" s="3">
        <v>118240.2</v>
      </c>
      <c r="M48" s="3">
        <v>73234.490000000005</v>
      </c>
      <c r="N48" s="3">
        <v>45005.71</v>
      </c>
      <c r="O48" s="4">
        <v>38.06</v>
      </c>
      <c r="P48" s="2" t="s">
        <v>22</v>
      </c>
    </row>
    <row r="49" spans="1:16" x14ac:dyDescent="0.3">
      <c r="A49" s="5">
        <v>1510</v>
      </c>
      <c r="B49" s="5" t="s">
        <v>73</v>
      </c>
      <c r="C49" s="5" t="s">
        <v>74</v>
      </c>
      <c r="D49" s="5" t="s">
        <v>56</v>
      </c>
      <c r="E49" s="5" t="s">
        <v>26</v>
      </c>
      <c r="F49" s="5" t="s">
        <v>37</v>
      </c>
      <c r="G49" s="5" t="s">
        <v>67</v>
      </c>
      <c r="H49" s="5">
        <v>133</v>
      </c>
      <c r="I49" s="6">
        <v>1792</v>
      </c>
      <c r="J49" s="6">
        <v>238336</v>
      </c>
      <c r="K49" s="5">
        <v>5</v>
      </c>
      <c r="L49" s="6">
        <v>226419.20000000001</v>
      </c>
      <c r="M49" s="6">
        <v>137540.72</v>
      </c>
      <c r="N49" s="6">
        <v>88878.48</v>
      </c>
      <c r="O49" s="7">
        <v>39.25</v>
      </c>
      <c r="P49" s="5" t="s">
        <v>29</v>
      </c>
    </row>
    <row r="50" spans="1:16" x14ac:dyDescent="0.3">
      <c r="A50" s="2">
        <v>1334</v>
      </c>
      <c r="B50" s="2" t="s">
        <v>57</v>
      </c>
      <c r="C50" s="2" t="s">
        <v>58</v>
      </c>
      <c r="D50" s="2" t="s">
        <v>56</v>
      </c>
      <c r="E50" s="2" t="s">
        <v>19</v>
      </c>
      <c r="F50" s="2" t="s">
        <v>37</v>
      </c>
      <c r="G50" s="2" t="s">
        <v>82</v>
      </c>
      <c r="H50" s="2">
        <v>108</v>
      </c>
      <c r="I50" s="3">
        <v>1579</v>
      </c>
      <c r="J50" s="3">
        <v>170532</v>
      </c>
      <c r="K50" s="2">
        <v>10</v>
      </c>
      <c r="L50" s="3">
        <v>153478.79999999999</v>
      </c>
      <c r="M50" s="3">
        <v>85454.9</v>
      </c>
      <c r="N50" s="3">
        <v>68023.899999999994</v>
      </c>
      <c r="O50" s="4">
        <v>44.32</v>
      </c>
      <c r="P50" s="2" t="s">
        <v>43</v>
      </c>
    </row>
    <row r="51" spans="1:16" x14ac:dyDescent="0.3">
      <c r="A51" s="5">
        <v>1994</v>
      </c>
      <c r="B51" s="5" t="s">
        <v>34</v>
      </c>
      <c r="C51" s="5" t="s">
        <v>35</v>
      </c>
      <c r="D51" s="5" t="s">
        <v>36</v>
      </c>
      <c r="E51" s="5" t="s">
        <v>44</v>
      </c>
      <c r="F51" s="5" t="s">
        <v>20</v>
      </c>
      <c r="G51" s="5" t="s">
        <v>68</v>
      </c>
      <c r="H51" s="5">
        <v>131</v>
      </c>
      <c r="I51" s="6">
        <v>143</v>
      </c>
      <c r="J51" s="6">
        <v>18733</v>
      </c>
      <c r="K51" s="5">
        <v>0</v>
      </c>
      <c r="L51" s="6">
        <v>18733</v>
      </c>
      <c r="M51" s="6">
        <v>11167.98</v>
      </c>
      <c r="N51" s="6">
        <v>7565.02</v>
      </c>
      <c r="O51" s="7">
        <v>40.380000000000003</v>
      </c>
      <c r="P51" s="5" t="s">
        <v>41</v>
      </c>
    </row>
    <row r="52" spans="1:16" x14ac:dyDescent="0.3">
      <c r="A52" s="2">
        <v>1691</v>
      </c>
      <c r="B52" s="2" t="s">
        <v>16</v>
      </c>
      <c r="C52" s="2" t="s">
        <v>17</v>
      </c>
      <c r="D52" s="2" t="s">
        <v>18</v>
      </c>
      <c r="E52" s="2" t="s">
        <v>44</v>
      </c>
      <c r="F52" s="2" t="s">
        <v>20</v>
      </c>
      <c r="G52" s="2" t="s">
        <v>64</v>
      </c>
      <c r="H52" s="2">
        <v>24</v>
      </c>
      <c r="I52" s="3">
        <v>217</v>
      </c>
      <c r="J52" s="3">
        <v>5208</v>
      </c>
      <c r="K52" s="2">
        <v>20</v>
      </c>
      <c r="L52" s="3">
        <v>4166.3999999999996</v>
      </c>
      <c r="M52" s="3">
        <v>2823.91</v>
      </c>
      <c r="N52" s="3">
        <v>1342.49</v>
      </c>
      <c r="O52" s="4">
        <v>32.22</v>
      </c>
      <c r="P52" s="2" t="s">
        <v>61</v>
      </c>
    </row>
    <row r="53" spans="1:16" x14ac:dyDescent="0.3">
      <c r="A53" s="5">
        <v>1886</v>
      </c>
      <c r="B53" s="5" t="s">
        <v>70</v>
      </c>
      <c r="C53" s="5" t="s">
        <v>71</v>
      </c>
      <c r="D53" s="5" t="s">
        <v>18</v>
      </c>
      <c r="E53" s="5" t="s">
        <v>44</v>
      </c>
      <c r="F53" s="5" t="s">
        <v>32</v>
      </c>
      <c r="G53" s="5" t="s">
        <v>40</v>
      </c>
      <c r="H53" s="5">
        <v>154</v>
      </c>
      <c r="I53" s="6">
        <v>19039</v>
      </c>
      <c r="J53" s="6">
        <v>2932006</v>
      </c>
      <c r="K53" s="5">
        <v>10</v>
      </c>
      <c r="L53" s="6">
        <v>2638805.4</v>
      </c>
      <c r="M53" s="6">
        <v>1770186.68</v>
      </c>
      <c r="N53" s="6">
        <v>868618.72</v>
      </c>
      <c r="O53" s="7">
        <v>32.92</v>
      </c>
      <c r="P53" s="5" t="s">
        <v>39</v>
      </c>
    </row>
    <row r="54" spans="1:16" x14ac:dyDescent="0.3">
      <c r="A54" s="2">
        <v>1396</v>
      </c>
      <c r="B54" s="2" t="s">
        <v>57</v>
      </c>
      <c r="C54" s="2" t="s">
        <v>58</v>
      </c>
      <c r="D54" s="2" t="s">
        <v>56</v>
      </c>
      <c r="E54" s="2" t="s">
        <v>44</v>
      </c>
      <c r="F54" s="2" t="s">
        <v>48</v>
      </c>
      <c r="G54" s="2" t="s">
        <v>69</v>
      </c>
      <c r="H54" s="2">
        <v>38</v>
      </c>
      <c r="I54" s="3">
        <v>1318</v>
      </c>
      <c r="J54" s="3">
        <v>50084</v>
      </c>
      <c r="K54" s="2">
        <v>5</v>
      </c>
      <c r="L54" s="3">
        <v>47579.8</v>
      </c>
      <c r="M54" s="3">
        <v>31991.13</v>
      </c>
      <c r="N54" s="3">
        <v>15588.67</v>
      </c>
      <c r="O54" s="4">
        <v>32.76</v>
      </c>
      <c r="P54" s="2" t="s">
        <v>41</v>
      </c>
    </row>
    <row r="55" spans="1:16" x14ac:dyDescent="0.3">
      <c r="A55" s="5">
        <v>1639</v>
      </c>
      <c r="B55" s="5" t="s">
        <v>16</v>
      </c>
      <c r="C55" s="5" t="s">
        <v>17</v>
      </c>
      <c r="D55" s="5" t="s">
        <v>18</v>
      </c>
      <c r="E55" s="5" t="s">
        <v>19</v>
      </c>
      <c r="F55" s="5" t="s">
        <v>32</v>
      </c>
      <c r="G55" s="5" t="s">
        <v>33</v>
      </c>
      <c r="H55" s="5">
        <v>88</v>
      </c>
      <c r="I55" s="6">
        <v>10354</v>
      </c>
      <c r="J55" s="6">
        <v>911152</v>
      </c>
      <c r="K55" s="5">
        <v>15</v>
      </c>
      <c r="L55" s="6">
        <v>774479.2</v>
      </c>
      <c r="M55" s="6">
        <v>493864.53</v>
      </c>
      <c r="N55" s="6">
        <v>280614.67</v>
      </c>
      <c r="O55" s="7">
        <v>36.229999999999997</v>
      </c>
      <c r="P55" s="5" t="s">
        <v>43</v>
      </c>
    </row>
    <row r="56" spans="1:16" x14ac:dyDescent="0.3">
      <c r="A56" s="2">
        <v>1995</v>
      </c>
      <c r="B56" s="2" t="s">
        <v>34</v>
      </c>
      <c r="C56" s="2" t="s">
        <v>35</v>
      </c>
      <c r="D56" s="2" t="s">
        <v>36</v>
      </c>
      <c r="E56" s="2" t="s">
        <v>44</v>
      </c>
      <c r="F56" s="2" t="s">
        <v>20</v>
      </c>
      <c r="G56" s="2" t="s">
        <v>60</v>
      </c>
      <c r="H56" s="2">
        <v>143</v>
      </c>
      <c r="I56" s="3">
        <v>83</v>
      </c>
      <c r="J56" s="3">
        <v>11869</v>
      </c>
      <c r="K56" s="2">
        <v>10</v>
      </c>
      <c r="L56" s="3">
        <v>10682.1</v>
      </c>
      <c r="M56" s="3">
        <v>6422.12</v>
      </c>
      <c r="N56" s="3">
        <v>4259.9799999999996</v>
      </c>
      <c r="O56" s="4">
        <v>39.880000000000003</v>
      </c>
      <c r="P56" s="2" t="s">
        <v>43</v>
      </c>
    </row>
    <row r="57" spans="1:16" x14ac:dyDescent="0.3">
      <c r="A57" s="5">
        <v>1543</v>
      </c>
      <c r="B57" s="5" t="s">
        <v>73</v>
      </c>
      <c r="C57" s="5" t="s">
        <v>74</v>
      </c>
      <c r="D57" s="5" t="s">
        <v>56</v>
      </c>
      <c r="E57" s="5" t="s">
        <v>19</v>
      </c>
      <c r="F57" s="5" t="s">
        <v>20</v>
      </c>
      <c r="G57" s="5" t="s">
        <v>21</v>
      </c>
      <c r="H57" s="5">
        <v>65</v>
      </c>
      <c r="I57" s="6">
        <v>121</v>
      </c>
      <c r="J57" s="6">
        <v>7865</v>
      </c>
      <c r="K57" s="5">
        <v>0</v>
      </c>
      <c r="L57" s="6">
        <v>7865</v>
      </c>
      <c r="M57" s="6">
        <v>4760.9799999999996</v>
      </c>
      <c r="N57" s="6">
        <v>3104.02</v>
      </c>
      <c r="O57" s="7">
        <v>39.47</v>
      </c>
      <c r="P57" s="5" t="s">
        <v>50</v>
      </c>
    </row>
    <row r="58" spans="1:16" x14ac:dyDescent="0.3">
      <c r="A58" s="2">
        <v>1550</v>
      </c>
      <c r="B58" s="2" t="s">
        <v>73</v>
      </c>
      <c r="C58" s="2" t="s">
        <v>74</v>
      </c>
      <c r="D58" s="2" t="s">
        <v>56</v>
      </c>
      <c r="E58" s="2" t="s">
        <v>19</v>
      </c>
      <c r="F58" s="2" t="s">
        <v>48</v>
      </c>
      <c r="G58" s="2" t="s">
        <v>72</v>
      </c>
      <c r="H58" s="2">
        <v>83</v>
      </c>
      <c r="I58" s="3">
        <v>3674</v>
      </c>
      <c r="J58" s="3">
        <v>304942</v>
      </c>
      <c r="K58" s="2">
        <v>0</v>
      </c>
      <c r="L58" s="3">
        <v>304942</v>
      </c>
      <c r="M58" s="3">
        <v>190837.02</v>
      </c>
      <c r="N58" s="3">
        <v>114104.98</v>
      </c>
      <c r="O58" s="4">
        <v>37.42</v>
      </c>
      <c r="P58" s="2" t="s">
        <v>22</v>
      </c>
    </row>
    <row r="59" spans="1:16" x14ac:dyDescent="0.3">
      <c r="A59" s="5">
        <v>1885</v>
      </c>
      <c r="B59" s="5" t="s">
        <v>70</v>
      </c>
      <c r="C59" s="5" t="s">
        <v>71</v>
      </c>
      <c r="D59" s="5" t="s">
        <v>18</v>
      </c>
      <c r="E59" s="5" t="s">
        <v>44</v>
      </c>
      <c r="F59" s="5" t="s">
        <v>37</v>
      </c>
      <c r="G59" s="5" t="s">
        <v>67</v>
      </c>
      <c r="H59" s="5">
        <v>116</v>
      </c>
      <c r="I59" s="6">
        <v>1905</v>
      </c>
      <c r="J59" s="6">
        <v>220980</v>
      </c>
      <c r="K59" s="5">
        <v>0</v>
      </c>
      <c r="L59" s="6">
        <v>220980</v>
      </c>
      <c r="M59" s="6">
        <v>137709.53</v>
      </c>
      <c r="N59" s="6">
        <v>83270.47</v>
      </c>
      <c r="O59" s="7">
        <v>37.68</v>
      </c>
      <c r="P59" s="5" t="s">
        <v>41</v>
      </c>
    </row>
    <row r="60" spans="1:16" x14ac:dyDescent="0.3">
      <c r="A60" s="2">
        <v>1871</v>
      </c>
      <c r="B60" s="2" t="s">
        <v>70</v>
      </c>
      <c r="C60" s="2" t="s">
        <v>71</v>
      </c>
      <c r="D60" s="2" t="s">
        <v>18</v>
      </c>
      <c r="E60" s="2" t="s">
        <v>42</v>
      </c>
      <c r="F60" s="2" t="s">
        <v>48</v>
      </c>
      <c r="G60" s="2" t="s">
        <v>69</v>
      </c>
      <c r="H60" s="2">
        <v>71</v>
      </c>
      <c r="I60" s="3">
        <v>1155</v>
      </c>
      <c r="J60" s="3">
        <v>82005</v>
      </c>
      <c r="K60" s="2">
        <v>20</v>
      </c>
      <c r="L60" s="3">
        <v>65604</v>
      </c>
      <c r="M60" s="3">
        <v>45902.76</v>
      </c>
      <c r="N60" s="3">
        <v>19701.240000000002</v>
      </c>
      <c r="O60" s="4">
        <v>30.03</v>
      </c>
      <c r="P60" s="2" t="s">
        <v>39</v>
      </c>
    </row>
    <row r="61" spans="1:16" x14ac:dyDescent="0.3">
      <c r="A61" s="5">
        <v>1312</v>
      </c>
      <c r="B61" s="5" t="s">
        <v>57</v>
      </c>
      <c r="C61" s="5" t="s">
        <v>58</v>
      </c>
      <c r="D61" s="5" t="s">
        <v>56</v>
      </c>
      <c r="E61" s="5" t="s">
        <v>26</v>
      </c>
      <c r="F61" s="5" t="s">
        <v>32</v>
      </c>
      <c r="G61" s="5" t="s">
        <v>75</v>
      </c>
      <c r="H61" s="5">
        <v>109</v>
      </c>
      <c r="I61" s="6">
        <v>11007</v>
      </c>
      <c r="J61" s="6">
        <v>1199763</v>
      </c>
      <c r="K61" s="5">
        <v>5</v>
      </c>
      <c r="L61" s="6">
        <v>1139774.8500000001</v>
      </c>
      <c r="M61" s="6">
        <v>694948.08</v>
      </c>
      <c r="N61" s="6">
        <v>444826.77</v>
      </c>
      <c r="O61" s="7">
        <v>39.03</v>
      </c>
      <c r="P61" s="5" t="s">
        <v>39</v>
      </c>
    </row>
    <row r="62" spans="1:16" x14ac:dyDescent="0.3">
      <c r="A62" s="2">
        <v>1938</v>
      </c>
      <c r="B62" s="2" t="s">
        <v>34</v>
      </c>
      <c r="C62" s="2" t="s">
        <v>35</v>
      </c>
      <c r="D62" s="2" t="s">
        <v>36</v>
      </c>
      <c r="E62" s="2" t="s">
        <v>19</v>
      </c>
      <c r="F62" s="2" t="s">
        <v>32</v>
      </c>
      <c r="G62" s="2" t="s">
        <v>81</v>
      </c>
      <c r="H62" s="2">
        <v>32</v>
      </c>
      <c r="I62" s="3">
        <v>14449</v>
      </c>
      <c r="J62" s="3">
        <v>462368</v>
      </c>
      <c r="K62" s="2">
        <v>10</v>
      </c>
      <c r="L62" s="3">
        <v>416131.2</v>
      </c>
      <c r="M62" s="3">
        <v>282820.38</v>
      </c>
      <c r="N62" s="3">
        <v>133310.82</v>
      </c>
      <c r="O62" s="4">
        <v>32.04</v>
      </c>
      <c r="P62" s="2" t="s">
        <v>43</v>
      </c>
    </row>
    <row r="63" spans="1:16" x14ac:dyDescent="0.3">
      <c r="A63" s="5">
        <v>1147</v>
      </c>
      <c r="B63" s="5" t="s">
        <v>23</v>
      </c>
      <c r="C63" s="5" t="s">
        <v>24</v>
      </c>
      <c r="D63" s="5" t="s">
        <v>25</v>
      </c>
      <c r="E63" s="5" t="s">
        <v>19</v>
      </c>
      <c r="F63" s="5" t="s">
        <v>48</v>
      </c>
      <c r="G63" s="5" t="s">
        <v>78</v>
      </c>
      <c r="H63" s="5">
        <v>51</v>
      </c>
      <c r="I63" s="6">
        <v>620</v>
      </c>
      <c r="J63" s="6">
        <v>31620</v>
      </c>
      <c r="K63" s="5">
        <v>0</v>
      </c>
      <c r="L63" s="6">
        <v>31620</v>
      </c>
      <c r="M63" s="6">
        <v>18955.259999999998</v>
      </c>
      <c r="N63" s="6">
        <v>12664.74</v>
      </c>
      <c r="O63" s="7">
        <v>40.049999999999997</v>
      </c>
      <c r="P63" s="5" t="s">
        <v>39</v>
      </c>
    </row>
    <row r="64" spans="1:16" x14ac:dyDescent="0.3">
      <c r="A64" s="2">
        <v>1311</v>
      </c>
      <c r="B64" s="2" t="s">
        <v>57</v>
      </c>
      <c r="C64" s="2" t="s">
        <v>58</v>
      </c>
      <c r="D64" s="2" t="s">
        <v>56</v>
      </c>
      <c r="E64" s="2" t="s">
        <v>26</v>
      </c>
      <c r="F64" s="2" t="s">
        <v>32</v>
      </c>
      <c r="G64" s="2" t="s">
        <v>40</v>
      </c>
      <c r="H64" s="2">
        <v>25</v>
      </c>
      <c r="I64" s="3">
        <v>18194</v>
      </c>
      <c r="J64" s="3">
        <v>454850</v>
      </c>
      <c r="K64" s="2">
        <v>10</v>
      </c>
      <c r="L64" s="3">
        <v>409365</v>
      </c>
      <c r="M64" s="3">
        <v>253851.69</v>
      </c>
      <c r="N64" s="3">
        <v>155513.31</v>
      </c>
      <c r="O64" s="4">
        <v>37.99</v>
      </c>
      <c r="P64" s="2" t="s">
        <v>61</v>
      </c>
    </row>
    <row r="65" spans="1:16" x14ac:dyDescent="0.3">
      <c r="A65" s="5">
        <v>1028</v>
      </c>
      <c r="B65" s="5" t="s">
        <v>62</v>
      </c>
      <c r="C65" s="5" t="s">
        <v>63</v>
      </c>
      <c r="D65" s="5" t="s">
        <v>25</v>
      </c>
      <c r="E65" s="5" t="s">
        <v>19</v>
      </c>
      <c r="F65" s="5" t="s">
        <v>27</v>
      </c>
      <c r="G65" s="5" t="s">
        <v>83</v>
      </c>
      <c r="H65" s="5">
        <v>101</v>
      </c>
      <c r="I65" s="6">
        <v>5447</v>
      </c>
      <c r="J65" s="6">
        <v>550147</v>
      </c>
      <c r="K65" s="5">
        <v>0</v>
      </c>
      <c r="L65" s="6">
        <v>550147</v>
      </c>
      <c r="M65" s="6">
        <v>362979.37</v>
      </c>
      <c r="N65" s="6">
        <v>187167.63</v>
      </c>
      <c r="O65" s="7">
        <v>34.020000000000003</v>
      </c>
      <c r="P65" s="5" t="s">
        <v>29</v>
      </c>
    </row>
    <row r="66" spans="1:16" x14ac:dyDescent="0.3">
      <c r="A66" s="2">
        <v>1990</v>
      </c>
      <c r="B66" s="2" t="s">
        <v>34</v>
      </c>
      <c r="C66" s="2" t="s">
        <v>35</v>
      </c>
      <c r="D66" s="2" t="s">
        <v>36</v>
      </c>
      <c r="E66" s="2" t="s">
        <v>44</v>
      </c>
      <c r="F66" s="2" t="s">
        <v>32</v>
      </c>
      <c r="G66" s="2" t="s">
        <v>65</v>
      </c>
      <c r="H66" s="2">
        <v>105</v>
      </c>
      <c r="I66" s="3">
        <v>5132</v>
      </c>
      <c r="J66" s="3">
        <v>538860</v>
      </c>
      <c r="K66" s="2">
        <v>20</v>
      </c>
      <c r="L66" s="3">
        <v>431088</v>
      </c>
      <c r="M66" s="3">
        <v>289345</v>
      </c>
      <c r="N66" s="3">
        <v>141743</v>
      </c>
      <c r="O66" s="4">
        <v>32.880000000000003</v>
      </c>
      <c r="P66" s="2" t="s">
        <v>45</v>
      </c>
    </row>
    <row r="67" spans="1:16" x14ac:dyDescent="0.3">
      <c r="A67" s="5">
        <v>1924</v>
      </c>
      <c r="B67" s="5" t="s">
        <v>34</v>
      </c>
      <c r="C67" s="5" t="s">
        <v>35</v>
      </c>
      <c r="D67" s="5" t="s">
        <v>36</v>
      </c>
      <c r="E67" s="5" t="s">
        <v>26</v>
      </c>
      <c r="F67" s="5" t="s">
        <v>48</v>
      </c>
      <c r="G67" s="5" t="s">
        <v>51</v>
      </c>
      <c r="H67" s="5">
        <v>120</v>
      </c>
      <c r="I67" s="6">
        <v>1905</v>
      </c>
      <c r="J67" s="6">
        <v>228600</v>
      </c>
      <c r="K67" s="5">
        <v>15</v>
      </c>
      <c r="L67" s="6">
        <v>194310</v>
      </c>
      <c r="M67" s="6">
        <v>121496.89</v>
      </c>
      <c r="N67" s="6">
        <v>72813.11</v>
      </c>
      <c r="O67" s="7">
        <v>37.47</v>
      </c>
      <c r="P67" s="5" t="s">
        <v>61</v>
      </c>
    </row>
    <row r="68" spans="1:16" x14ac:dyDescent="0.3">
      <c r="A68" s="2">
        <v>1950</v>
      </c>
      <c r="B68" s="2" t="s">
        <v>34</v>
      </c>
      <c r="C68" s="2" t="s">
        <v>35</v>
      </c>
      <c r="D68" s="2" t="s">
        <v>36</v>
      </c>
      <c r="E68" s="2" t="s">
        <v>19</v>
      </c>
      <c r="F68" s="2" t="s">
        <v>48</v>
      </c>
      <c r="G68" s="2" t="s">
        <v>72</v>
      </c>
      <c r="H68" s="2">
        <v>124</v>
      </c>
      <c r="I68" s="3">
        <v>3779</v>
      </c>
      <c r="J68" s="3">
        <v>468596</v>
      </c>
      <c r="K68" s="2">
        <v>0</v>
      </c>
      <c r="L68" s="3">
        <v>468596</v>
      </c>
      <c r="M68" s="3">
        <v>287956.76</v>
      </c>
      <c r="N68" s="3">
        <v>180639.24</v>
      </c>
      <c r="O68" s="4">
        <v>38.549999999999997</v>
      </c>
      <c r="P68" s="2" t="s">
        <v>61</v>
      </c>
    </row>
    <row r="69" spans="1:16" x14ac:dyDescent="0.3">
      <c r="A69" s="5">
        <v>2045</v>
      </c>
      <c r="B69" s="5" t="s">
        <v>76</v>
      </c>
      <c r="C69" s="5" t="s">
        <v>77</v>
      </c>
      <c r="D69" s="5" t="s">
        <v>36</v>
      </c>
      <c r="E69" s="5" t="s">
        <v>19</v>
      </c>
      <c r="F69" s="5" t="s">
        <v>20</v>
      </c>
      <c r="G69" s="5" t="s">
        <v>60</v>
      </c>
      <c r="H69" s="5">
        <v>41</v>
      </c>
      <c r="I69" s="6">
        <v>93</v>
      </c>
      <c r="J69" s="6">
        <v>3813</v>
      </c>
      <c r="K69" s="5">
        <v>15</v>
      </c>
      <c r="L69" s="6">
        <v>3241.05</v>
      </c>
      <c r="M69" s="6">
        <v>2200.75</v>
      </c>
      <c r="N69" s="6">
        <v>1040.3</v>
      </c>
      <c r="O69" s="7">
        <v>32.1</v>
      </c>
      <c r="P69" s="5" t="s">
        <v>22</v>
      </c>
    </row>
    <row r="70" spans="1:16" x14ac:dyDescent="0.3">
      <c r="A70" s="2">
        <v>1915</v>
      </c>
      <c r="B70" s="2" t="s">
        <v>34</v>
      </c>
      <c r="C70" s="2" t="s">
        <v>35</v>
      </c>
      <c r="D70" s="2" t="s">
        <v>36</v>
      </c>
      <c r="E70" s="2" t="s">
        <v>26</v>
      </c>
      <c r="F70" s="2" t="s">
        <v>32</v>
      </c>
      <c r="G70" s="2" t="s">
        <v>65</v>
      </c>
      <c r="H70" s="2">
        <v>124</v>
      </c>
      <c r="I70" s="3">
        <v>5069</v>
      </c>
      <c r="J70" s="3">
        <v>628556</v>
      </c>
      <c r="K70" s="2">
        <v>5</v>
      </c>
      <c r="L70" s="3">
        <v>597128.19999999995</v>
      </c>
      <c r="M70" s="3">
        <v>394188.15</v>
      </c>
      <c r="N70" s="3">
        <v>202940.05</v>
      </c>
      <c r="O70" s="4">
        <v>33.99</v>
      </c>
      <c r="P70" s="2" t="s">
        <v>41</v>
      </c>
    </row>
    <row r="71" spans="1:16" x14ac:dyDescent="0.3">
      <c r="A71" s="5">
        <v>1327</v>
      </c>
      <c r="B71" s="5" t="s">
        <v>57</v>
      </c>
      <c r="C71" s="5" t="s">
        <v>58</v>
      </c>
      <c r="D71" s="5" t="s">
        <v>56</v>
      </c>
      <c r="E71" s="5" t="s">
        <v>19</v>
      </c>
      <c r="F71" s="5" t="s">
        <v>27</v>
      </c>
      <c r="G71" s="5" t="s">
        <v>28</v>
      </c>
      <c r="H71" s="5">
        <v>58</v>
      </c>
      <c r="I71" s="6">
        <v>7946</v>
      </c>
      <c r="J71" s="6">
        <v>460868</v>
      </c>
      <c r="K71" s="5">
        <v>5</v>
      </c>
      <c r="L71" s="6">
        <v>437824.6</v>
      </c>
      <c r="M71" s="6">
        <v>270330.15999999997</v>
      </c>
      <c r="N71" s="6">
        <v>167494.44</v>
      </c>
      <c r="O71" s="7">
        <v>38.26</v>
      </c>
      <c r="P71" s="5" t="s">
        <v>61</v>
      </c>
    </row>
    <row r="72" spans="1:16" x14ac:dyDescent="0.3">
      <c r="A72" s="2">
        <v>1389</v>
      </c>
      <c r="B72" s="2" t="s">
        <v>57</v>
      </c>
      <c r="C72" s="2" t="s">
        <v>58</v>
      </c>
      <c r="D72" s="2" t="s">
        <v>56</v>
      </c>
      <c r="E72" s="2" t="s">
        <v>44</v>
      </c>
      <c r="F72" s="2" t="s">
        <v>32</v>
      </c>
      <c r="G72" s="2" t="s">
        <v>33</v>
      </c>
      <c r="H72" s="2">
        <v>104</v>
      </c>
      <c r="I72" s="3">
        <v>9696</v>
      </c>
      <c r="J72" s="3">
        <v>1008384</v>
      </c>
      <c r="K72" s="2">
        <v>0</v>
      </c>
      <c r="L72" s="3">
        <v>1008384</v>
      </c>
      <c r="M72" s="3">
        <v>704786.82</v>
      </c>
      <c r="N72" s="3">
        <v>303597.18</v>
      </c>
      <c r="O72" s="4">
        <v>30.11</v>
      </c>
      <c r="P72" s="2" t="s">
        <v>22</v>
      </c>
    </row>
    <row r="73" spans="1:16" x14ac:dyDescent="0.3">
      <c r="A73" s="5">
        <v>1943</v>
      </c>
      <c r="B73" s="5" t="s">
        <v>34</v>
      </c>
      <c r="C73" s="5" t="s">
        <v>35</v>
      </c>
      <c r="D73" s="5" t="s">
        <v>36</v>
      </c>
      <c r="E73" s="5" t="s">
        <v>19</v>
      </c>
      <c r="F73" s="5" t="s">
        <v>20</v>
      </c>
      <c r="G73" s="5" t="s">
        <v>21</v>
      </c>
      <c r="H73" s="5">
        <v>133</v>
      </c>
      <c r="I73" s="6">
        <v>108</v>
      </c>
      <c r="J73" s="6">
        <v>14364</v>
      </c>
      <c r="K73" s="5">
        <v>10</v>
      </c>
      <c r="L73" s="6">
        <v>12927.6</v>
      </c>
      <c r="M73" s="6">
        <v>7799.31</v>
      </c>
      <c r="N73" s="6">
        <v>5128.29</v>
      </c>
      <c r="O73" s="7">
        <v>39.67</v>
      </c>
      <c r="P73" s="5" t="s">
        <v>50</v>
      </c>
    </row>
    <row r="74" spans="1:16" x14ac:dyDescent="0.3">
      <c r="A74" s="2">
        <v>1428</v>
      </c>
      <c r="B74" s="2" t="s">
        <v>54</v>
      </c>
      <c r="C74" s="2" t="s">
        <v>55</v>
      </c>
      <c r="D74" s="2" t="s">
        <v>56</v>
      </c>
      <c r="E74" s="2" t="s">
        <v>19</v>
      </c>
      <c r="F74" s="2" t="s">
        <v>27</v>
      </c>
      <c r="G74" s="2" t="s">
        <v>83</v>
      </c>
      <c r="H74" s="2">
        <v>84</v>
      </c>
      <c r="I74" s="3">
        <v>4934</v>
      </c>
      <c r="J74" s="3">
        <v>414456</v>
      </c>
      <c r="K74" s="2">
        <v>10</v>
      </c>
      <c r="L74" s="3">
        <v>373010.4</v>
      </c>
      <c r="M74" s="3">
        <v>236816.28</v>
      </c>
      <c r="N74" s="3">
        <v>136194.12</v>
      </c>
      <c r="O74" s="4">
        <v>36.51</v>
      </c>
      <c r="P74" s="2" t="s">
        <v>29</v>
      </c>
    </row>
    <row r="75" spans="1:16" x14ac:dyDescent="0.3">
      <c r="A75" s="5">
        <v>1013</v>
      </c>
      <c r="B75" s="5" t="s">
        <v>62</v>
      </c>
      <c r="C75" s="5" t="s">
        <v>63</v>
      </c>
      <c r="D75" s="5" t="s">
        <v>25</v>
      </c>
      <c r="E75" s="5" t="s">
        <v>26</v>
      </c>
      <c r="F75" s="5" t="s">
        <v>32</v>
      </c>
      <c r="G75" s="5" t="s">
        <v>81</v>
      </c>
      <c r="H75" s="5">
        <v>48</v>
      </c>
      <c r="I75" s="6">
        <v>15191</v>
      </c>
      <c r="J75" s="6">
        <v>729168</v>
      </c>
      <c r="K75" s="5">
        <v>5</v>
      </c>
      <c r="L75" s="6">
        <v>692709.6</v>
      </c>
      <c r="M75" s="6">
        <v>452126.11</v>
      </c>
      <c r="N75" s="6">
        <v>240583.49</v>
      </c>
      <c r="O75" s="7">
        <v>34.729999999999997</v>
      </c>
      <c r="P75" s="5" t="s">
        <v>43</v>
      </c>
    </row>
    <row r="76" spans="1:16" x14ac:dyDescent="0.3">
      <c r="A76" s="2">
        <v>2187</v>
      </c>
      <c r="B76" s="2" t="s">
        <v>46</v>
      </c>
      <c r="C76" s="2" t="s">
        <v>47</v>
      </c>
      <c r="D76" s="2" t="s">
        <v>36</v>
      </c>
      <c r="E76" s="2" t="s">
        <v>44</v>
      </c>
      <c r="F76" s="2" t="s">
        <v>32</v>
      </c>
      <c r="G76" s="2" t="s">
        <v>75</v>
      </c>
      <c r="H76" s="2">
        <v>99</v>
      </c>
      <c r="I76" s="3">
        <v>10927</v>
      </c>
      <c r="J76" s="3">
        <v>1081773</v>
      </c>
      <c r="K76" s="2">
        <v>10</v>
      </c>
      <c r="L76" s="3">
        <v>973595.7</v>
      </c>
      <c r="M76" s="3">
        <v>596743.18999999994</v>
      </c>
      <c r="N76" s="3">
        <v>376852.51</v>
      </c>
      <c r="O76" s="4">
        <v>38.71</v>
      </c>
      <c r="P76" s="2" t="s">
        <v>41</v>
      </c>
    </row>
    <row r="77" spans="1:16" x14ac:dyDescent="0.3">
      <c r="A77" s="5">
        <v>1685</v>
      </c>
      <c r="B77" s="5" t="s">
        <v>16</v>
      </c>
      <c r="C77" s="5" t="s">
        <v>17</v>
      </c>
      <c r="D77" s="5" t="s">
        <v>18</v>
      </c>
      <c r="E77" s="5" t="s">
        <v>44</v>
      </c>
      <c r="F77" s="5" t="s">
        <v>37</v>
      </c>
      <c r="G77" s="5" t="s">
        <v>67</v>
      </c>
      <c r="H77" s="5">
        <v>38</v>
      </c>
      <c r="I77" s="6">
        <v>1948</v>
      </c>
      <c r="J77" s="6">
        <v>74024</v>
      </c>
      <c r="K77" s="5">
        <v>20</v>
      </c>
      <c r="L77" s="6">
        <v>59219.199999999997</v>
      </c>
      <c r="M77" s="6">
        <v>39696.980000000003</v>
      </c>
      <c r="N77" s="6">
        <v>19522.22</v>
      </c>
      <c r="O77" s="7">
        <v>32.97</v>
      </c>
      <c r="P77" s="5" t="s">
        <v>39</v>
      </c>
    </row>
    <row r="78" spans="1:16" x14ac:dyDescent="0.3">
      <c r="A78" s="2">
        <v>1569</v>
      </c>
      <c r="B78" s="2" t="s">
        <v>73</v>
      </c>
      <c r="C78" s="2" t="s">
        <v>74</v>
      </c>
      <c r="D78" s="2" t="s">
        <v>56</v>
      </c>
      <c r="E78" s="2" t="s">
        <v>42</v>
      </c>
      <c r="F78" s="2" t="s">
        <v>20</v>
      </c>
      <c r="G78" s="2" t="s">
        <v>68</v>
      </c>
      <c r="H78" s="2">
        <v>84</v>
      </c>
      <c r="I78" s="3">
        <v>152</v>
      </c>
      <c r="J78" s="3">
        <v>12768</v>
      </c>
      <c r="K78" s="2">
        <v>0</v>
      </c>
      <c r="L78" s="3">
        <v>12768</v>
      </c>
      <c r="M78" s="3">
        <v>7190.4</v>
      </c>
      <c r="N78" s="3">
        <v>5577.6</v>
      </c>
      <c r="O78" s="4">
        <v>43.68</v>
      </c>
      <c r="P78" s="2" t="s">
        <v>22</v>
      </c>
    </row>
    <row r="79" spans="1:16" x14ac:dyDescent="0.3">
      <c r="A79" s="5">
        <v>1179</v>
      </c>
      <c r="B79" s="5" t="s">
        <v>23</v>
      </c>
      <c r="C79" s="5" t="s">
        <v>24</v>
      </c>
      <c r="D79" s="5" t="s">
        <v>25</v>
      </c>
      <c r="E79" s="5" t="s">
        <v>44</v>
      </c>
      <c r="F79" s="5" t="s">
        <v>27</v>
      </c>
      <c r="G79" s="5" t="s">
        <v>66</v>
      </c>
      <c r="H79" s="5">
        <v>126</v>
      </c>
      <c r="I79" s="6">
        <v>767</v>
      </c>
      <c r="J79" s="6">
        <v>96642</v>
      </c>
      <c r="K79" s="5">
        <v>15</v>
      </c>
      <c r="L79" s="6">
        <v>82145.7</v>
      </c>
      <c r="M79" s="6">
        <v>48562.239999999998</v>
      </c>
      <c r="N79" s="6">
        <v>33583.46</v>
      </c>
      <c r="O79" s="7">
        <v>40.880000000000003</v>
      </c>
      <c r="P79" s="5" t="s">
        <v>43</v>
      </c>
    </row>
    <row r="80" spans="1:16" x14ac:dyDescent="0.3">
      <c r="A80" s="2">
        <v>1805</v>
      </c>
      <c r="B80" s="2" t="s">
        <v>70</v>
      </c>
      <c r="C80" s="2" t="s">
        <v>71</v>
      </c>
      <c r="D80" s="2" t="s">
        <v>18</v>
      </c>
      <c r="E80" s="2" t="s">
        <v>26</v>
      </c>
      <c r="F80" s="2" t="s">
        <v>27</v>
      </c>
      <c r="G80" s="2" t="s">
        <v>84</v>
      </c>
      <c r="H80" s="2">
        <v>131</v>
      </c>
      <c r="I80" s="3">
        <v>16292</v>
      </c>
      <c r="J80" s="3">
        <v>2134252</v>
      </c>
      <c r="K80" s="2">
        <v>15</v>
      </c>
      <c r="L80" s="3">
        <v>1814114.2</v>
      </c>
      <c r="M80" s="3">
        <v>1164833.3600000001</v>
      </c>
      <c r="N80" s="3">
        <v>649280.84</v>
      </c>
      <c r="O80" s="4">
        <v>35.79</v>
      </c>
      <c r="P80" s="2" t="s">
        <v>50</v>
      </c>
    </row>
    <row r="81" spans="1:16" x14ac:dyDescent="0.3">
      <c r="A81" s="5">
        <v>1682</v>
      </c>
      <c r="B81" s="5" t="s">
        <v>16</v>
      </c>
      <c r="C81" s="5" t="s">
        <v>17</v>
      </c>
      <c r="D81" s="5" t="s">
        <v>18</v>
      </c>
      <c r="E81" s="5" t="s">
        <v>44</v>
      </c>
      <c r="F81" s="5" t="s">
        <v>37</v>
      </c>
      <c r="G81" s="5" t="s">
        <v>79</v>
      </c>
      <c r="H81" s="5">
        <v>78</v>
      </c>
      <c r="I81" s="6">
        <v>1162</v>
      </c>
      <c r="J81" s="6">
        <v>90636</v>
      </c>
      <c r="K81" s="5">
        <v>0</v>
      </c>
      <c r="L81" s="6">
        <v>90636</v>
      </c>
      <c r="M81" s="6">
        <v>55298.53</v>
      </c>
      <c r="N81" s="6">
        <v>35337.47</v>
      </c>
      <c r="O81" s="7">
        <v>38.99</v>
      </c>
      <c r="P81" s="5" t="s">
        <v>39</v>
      </c>
    </row>
    <row r="82" spans="1:16" x14ac:dyDescent="0.3">
      <c r="A82" s="2">
        <v>1401</v>
      </c>
      <c r="B82" s="2" t="s">
        <v>54</v>
      </c>
      <c r="C82" s="2" t="s">
        <v>55</v>
      </c>
      <c r="D82" s="2" t="s">
        <v>56</v>
      </c>
      <c r="E82" s="2" t="s">
        <v>26</v>
      </c>
      <c r="F82" s="2" t="s">
        <v>27</v>
      </c>
      <c r="G82" s="2" t="s">
        <v>85</v>
      </c>
      <c r="H82" s="2">
        <v>101</v>
      </c>
      <c r="I82" s="3">
        <v>12471</v>
      </c>
      <c r="J82" s="3">
        <v>1259571</v>
      </c>
      <c r="K82" s="2">
        <v>15</v>
      </c>
      <c r="L82" s="3">
        <v>1070635.3500000001</v>
      </c>
      <c r="M82" s="3">
        <v>612813.09</v>
      </c>
      <c r="N82" s="3">
        <v>457822.26</v>
      </c>
      <c r="O82" s="4">
        <v>42.76</v>
      </c>
      <c r="P82" s="2" t="s">
        <v>22</v>
      </c>
    </row>
    <row r="83" spans="1:16" x14ac:dyDescent="0.3">
      <c r="A83" s="5">
        <v>1734</v>
      </c>
      <c r="B83" s="5" t="s">
        <v>30</v>
      </c>
      <c r="C83" s="5" t="s">
        <v>31</v>
      </c>
      <c r="D83" s="5" t="s">
        <v>18</v>
      </c>
      <c r="E83" s="5" t="s">
        <v>19</v>
      </c>
      <c r="F83" s="5" t="s">
        <v>37</v>
      </c>
      <c r="G83" s="5" t="s">
        <v>82</v>
      </c>
      <c r="H83" s="5">
        <v>151</v>
      </c>
      <c r="I83" s="6">
        <v>1555</v>
      </c>
      <c r="J83" s="6">
        <v>234805</v>
      </c>
      <c r="K83" s="5">
        <v>10</v>
      </c>
      <c r="L83" s="6">
        <v>211324.5</v>
      </c>
      <c r="M83" s="6">
        <v>128317.48</v>
      </c>
      <c r="N83" s="6">
        <v>83007.02</v>
      </c>
      <c r="O83" s="7">
        <v>39.28</v>
      </c>
      <c r="P83" s="5" t="s">
        <v>29</v>
      </c>
    </row>
    <row r="84" spans="1:16" x14ac:dyDescent="0.3">
      <c r="A84" s="2">
        <v>1925</v>
      </c>
      <c r="B84" s="2" t="s">
        <v>34</v>
      </c>
      <c r="C84" s="2" t="s">
        <v>35</v>
      </c>
      <c r="D84" s="2" t="s">
        <v>36</v>
      </c>
      <c r="E84" s="2" t="s">
        <v>26</v>
      </c>
      <c r="F84" s="2" t="s">
        <v>48</v>
      </c>
      <c r="G84" s="2" t="s">
        <v>72</v>
      </c>
      <c r="H84" s="2">
        <v>157</v>
      </c>
      <c r="I84" s="3">
        <v>3487</v>
      </c>
      <c r="J84" s="3">
        <v>547459</v>
      </c>
      <c r="K84" s="2">
        <v>5</v>
      </c>
      <c r="L84" s="3">
        <v>520086.05</v>
      </c>
      <c r="M84" s="3">
        <v>324106.78999999998</v>
      </c>
      <c r="N84" s="3">
        <v>195979.26</v>
      </c>
      <c r="O84" s="4">
        <v>37.68</v>
      </c>
      <c r="P84" s="2" t="s">
        <v>45</v>
      </c>
    </row>
    <row r="85" spans="1:16" x14ac:dyDescent="0.3">
      <c r="A85" s="5">
        <v>1519</v>
      </c>
      <c r="B85" s="5" t="s">
        <v>73</v>
      </c>
      <c r="C85" s="5" t="s">
        <v>74</v>
      </c>
      <c r="D85" s="5" t="s">
        <v>56</v>
      </c>
      <c r="E85" s="5" t="s">
        <v>26</v>
      </c>
      <c r="F85" s="5" t="s">
        <v>20</v>
      </c>
      <c r="G85" s="5" t="s">
        <v>68</v>
      </c>
      <c r="H85" s="5">
        <v>141</v>
      </c>
      <c r="I85" s="6">
        <v>144</v>
      </c>
      <c r="J85" s="6">
        <v>20304</v>
      </c>
      <c r="K85" s="5">
        <v>0</v>
      </c>
      <c r="L85" s="6">
        <v>20304</v>
      </c>
      <c r="M85" s="6">
        <v>13554.35</v>
      </c>
      <c r="N85" s="6">
        <v>6749.65</v>
      </c>
      <c r="O85" s="7">
        <v>33.24</v>
      </c>
      <c r="P85" s="5" t="s">
        <v>45</v>
      </c>
    </row>
    <row r="86" spans="1:16" x14ac:dyDescent="0.3">
      <c r="A86" s="2">
        <v>1438</v>
      </c>
      <c r="B86" s="2" t="s">
        <v>54</v>
      </c>
      <c r="C86" s="2" t="s">
        <v>55</v>
      </c>
      <c r="D86" s="2" t="s">
        <v>56</v>
      </c>
      <c r="E86" s="2" t="s">
        <v>19</v>
      </c>
      <c r="F86" s="2" t="s">
        <v>32</v>
      </c>
      <c r="G86" s="2" t="s">
        <v>81</v>
      </c>
      <c r="H86" s="2">
        <v>31</v>
      </c>
      <c r="I86" s="3">
        <v>14332</v>
      </c>
      <c r="J86" s="3">
        <v>444292</v>
      </c>
      <c r="K86" s="2">
        <v>5</v>
      </c>
      <c r="L86" s="3">
        <v>422077.4</v>
      </c>
      <c r="M86" s="3">
        <v>277290.62</v>
      </c>
      <c r="N86" s="3">
        <v>144786.78</v>
      </c>
      <c r="O86" s="4">
        <v>34.299999999999997</v>
      </c>
      <c r="P86" s="2" t="s">
        <v>29</v>
      </c>
    </row>
    <row r="87" spans="1:16" x14ac:dyDescent="0.3">
      <c r="A87" s="5">
        <v>1315</v>
      </c>
      <c r="B87" s="5" t="s">
        <v>57</v>
      </c>
      <c r="C87" s="5" t="s">
        <v>58</v>
      </c>
      <c r="D87" s="5" t="s">
        <v>56</v>
      </c>
      <c r="E87" s="5" t="s">
        <v>26</v>
      </c>
      <c r="F87" s="5" t="s">
        <v>32</v>
      </c>
      <c r="G87" s="5" t="s">
        <v>65</v>
      </c>
      <c r="H87" s="5">
        <v>131</v>
      </c>
      <c r="I87" s="6">
        <v>4629</v>
      </c>
      <c r="J87" s="6">
        <v>606399</v>
      </c>
      <c r="K87" s="5">
        <v>0</v>
      </c>
      <c r="L87" s="6">
        <v>606399</v>
      </c>
      <c r="M87" s="6">
        <v>409142.63</v>
      </c>
      <c r="N87" s="6">
        <v>197256.37</v>
      </c>
      <c r="O87" s="7">
        <v>32.53</v>
      </c>
      <c r="P87" s="5" t="s">
        <v>61</v>
      </c>
    </row>
    <row r="88" spans="1:16" x14ac:dyDescent="0.3">
      <c r="A88" s="2">
        <v>1293</v>
      </c>
      <c r="B88" s="2" t="s">
        <v>52</v>
      </c>
      <c r="C88" s="2" t="s">
        <v>53</v>
      </c>
      <c r="D88" s="2" t="s">
        <v>25</v>
      </c>
      <c r="E88" s="2" t="s">
        <v>44</v>
      </c>
      <c r="F88" s="2" t="s">
        <v>20</v>
      </c>
      <c r="G88" s="2" t="s">
        <v>21</v>
      </c>
      <c r="H88" s="2">
        <v>122</v>
      </c>
      <c r="I88" s="3">
        <v>117</v>
      </c>
      <c r="J88" s="3">
        <v>14274</v>
      </c>
      <c r="K88" s="2">
        <v>0</v>
      </c>
      <c r="L88" s="3">
        <v>14274</v>
      </c>
      <c r="M88" s="3">
        <v>8913.1200000000008</v>
      </c>
      <c r="N88" s="3">
        <v>5360.88</v>
      </c>
      <c r="O88" s="4">
        <v>37.56</v>
      </c>
      <c r="P88" s="2" t="s">
        <v>39</v>
      </c>
    </row>
    <row r="89" spans="1:16" x14ac:dyDescent="0.3">
      <c r="A89" s="5">
        <v>1374</v>
      </c>
      <c r="B89" s="5" t="s">
        <v>57</v>
      </c>
      <c r="C89" s="5" t="s">
        <v>58</v>
      </c>
      <c r="D89" s="5" t="s">
        <v>56</v>
      </c>
      <c r="E89" s="5" t="s">
        <v>42</v>
      </c>
      <c r="F89" s="5" t="s">
        <v>48</v>
      </c>
      <c r="G89" s="5" t="s">
        <v>51</v>
      </c>
      <c r="H89" s="5">
        <v>29</v>
      </c>
      <c r="I89" s="6">
        <v>1847</v>
      </c>
      <c r="J89" s="6">
        <v>53563</v>
      </c>
      <c r="K89" s="5">
        <v>5</v>
      </c>
      <c r="L89" s="6">
        <v>50884.85</v>
      </c>
      <c r="M89" s="6">
        <v>29205.74</v>
      </c>
      <c r="N89" s="6">
        <v>21679.11</v>
      </c>
      <c r="O89" s="7">
        <v>42.6</v>
      </c>
      <c r="P89" s="5" t="s">
        <v>50</v>
      </c>
    </row>
    <row r="90" spans="1:16" x14ac:dyDescent="0.3">
      <c r="A90" s="2">
        <v>1631</v>
      </c>
      <c r="B90" s="2" t="s">
        <v>16</v>
      </c>
      <c r="C90" s="2" t="s">
        <v>17</v>
      </c>
      <c r="D90" s="2" t="s">
        <v>18</v>
      </c>
      <c r="E90" s="2" t="s">
        <v>19</v>
      </c>
      <c r="F90" s="2" t="s">
        <v>37</v>
      </c>
      <c r="G90" s="2" t="s">
        <v>59</v>
      </c>
      <c r="H90" s="2">
        <v>118</v>
      </c>
      <c r="I90" s="3">
        <v>474</v>
      </c>
      <c r="J90" s="3">
        <v>55932</v>
      </c>
      <c r="K90" s="2">
        <v>20</v>
      </c>
      <c r="L90" s="3">
        <v>44745.599999999999</v>
      </c>
      <c r="M90" s="3">
        <v>28597.21</v>
      </c>
      <c r="N90" s="3">
        <v>16148.39</v>
      </c>
      <c r="O90" s="4">
        <v>36.090000000000003</v>
      </c>
      <c r="P90" s="2" t="s">
        <v>61</v>
      </c>
    </row>
    <row r="91" spans="1:16" x14ac:dyDescent="0.3">
      <c r="A91" s="5">
        <v>1858</v>
      </c>
      <c r="B91" s="5" t="s">
        <v>70</v>
      </c>
      <c r="C91" s="5" t="s">
        <v>71</v>
      </c>
      <c r="D91" s="5" t="s">
        <v>18</v>
      </c>
      <c r="E91" s="5" t="s">
        <v>42</v>
      </c>
      <c r="F91" s="5" t="s">
        <v>37</v>
      </c>
      <c r="G91" s="5" t="s">
        <v>38</v>
      </c>
      <c r="H91" s="5">
        <v>152</v>
      </c>
      <c r="I91" s="6">
        <v>1993</v>
      </c>
      <c r="J91" s="6">
        <v>302936</v>
      </c>
      <c r="K91" s="5">
        <v>5</v>
      </c>
      <c r="L91" s="6">
        <v>287789.2</v>
      </c>
      <c r="M91" s="6">
        <v>193021.99</v>
      </c>
      <c r="N91" s="6">
        <v>94767.21</v>
      </c>
      <c r="O91" s="7">
        <v>32.93</v>
      </c>
      <c r="P91" s="5" t="s">
        <v>39</v>
      </c>
    </row>
    <row r="92" spans="1:16" x14ac:dyDescent="0.3">
      <c r="A92" s="2">
        <v>1304</v>
      </c>
      <c r="B92" s="2" t="s">
        <v>57</v>
      </c>
      <c r="C92" s="2" t="s">
        <v>58</v>
      </c>
      <c r="D92" s="2" t="s">
        <v>56</v>
      </c>
      <c r="E92" s="2" t="s">
        <v>26</v>
      </c>
      <c r="F92" s="2" t="s">
        <v>27</v>
      </c>
      <c r="G92" s="2" t="s">
        <v>66</v>
      </c>
      <c r="H92" s="2">
        <v>57</v>
      </c>
      <c r="I92" s="3">
        <v>738</v>
      </c>
      <c r="J92" s="3">
        <v>42066</v>
      </c>
      <c r="K92" s="2">
        <v>0</v>
      </c>
      <c r="L92" s="3">
        <v>42066</v>
      </c>
      <c r="M92" s="3">
        <v>26285.22</v>
      </c>
      <c r="N92" s="3">
        <v>15780.78</v>
      </c>
      <c r="O92" s="4">
        <v>37.51</v>
      </c>
      <c r="P92" s="2" t="s">
        <v>22</v>
      </c>
    </row>
    <row r="93" spans="1:16" x14ac:dyDescent="0.3">
      <c r="A93" s="5">
        <v>2136</v>
      </c>
      <c r="B93" s="5" t="s">
        <v>46</v>
      </c>
      <c r="C93" s="5" t="s">
        <v>47</v>
      </c>
      <c r="D93" s="5" t="s">
        <v>36</v>
      </c>
      <c r="E93" s="5" t="s">
        <v>19</v>
      </c>
      <c r="F93" s="5" t="s">
        <v>32</v>
      </c>
      <c r="G93" s="5" t="s">
        <v>40</v>
      </c>
      <c r="H93" s="5">
        <v>58</v>
      </c>
      <c r="I93" s="6">
        <v>17853</v>
      </c>
      <c r="J93" s="6">
        <v>1035474</v>
      </c>
      <c r="K93" s="5">
        <v>0</v>
      </c>
      <c r="L93" s="6">
        <v>1035474</v>
      </c>
      <c r="M93" s="6">
        <v>721169.45</v>
      </c>
      <c r="N93" s="6">
        <v>314304.55</v>
      </c>
      <c r="O93" s="7">
        <v>30.35</v>
      </c>
      <c r="P93" s="5" t="s">
        <v>39</v>
      </c>
    </row>
    <row r="94" spans="1:16" x14ac:dyDescent="0.3">
      <c r="A94" s="2">
        <v>2147</v>
      </c>
      <c r="B94" s="2" t="s">
        <v>46</v>
      </c>
      <c r="C94" s="2" t="s">
        <v>47</v>
      </c>
      <c r="D94" s="2" t="s">
        <v>36</v>
      </c>
      <c r="E94" s="2" t="s">
        <v>19</v>
      </c>
      <c r="F94" s="2" t="s">
        <v>48</v>
      </c>
      <c r="G94" s="2" t="s">
        <v>78</v>
      </c>
      <c r="H94" s="2">
        <v>112</v>
      </c>
      <c r="I94" s="3">
        <v>600</v>
      </c>
      <c r="J94" s="3">
        <v>67200</v>
      </c>
      <c r="K94" s="2">
        <v>0</v>
      </c>
      <c r="L94" s="3">
        <v>67200</v>
      </c>
      <c r="M94" s="3">
        <v>41699.25</v>
      </c>
      <c r="N94" s="3">
        <v>25500.75</v>
      </c>
      <c r="O94" s="4">
        <v>37.950000000000003</v>
      </c>
      <c r="P94" s="2" t="s">
        <v>50</v>
      </c>
    </row>
    <row r="95" spans="1:16" x14ac:dyDescent="0.3">
      <c r="A95" s="5">
        <v>2084</v>
      </c>
      <c r="B95" s="5" t="s">
        <v>76</v>
      </c>
      <c r="C95" s="5" t="s">
        <v>77</v>
      </c>
      <c r="D95" s="5" t="s">
        <v>36</v>
      </c>
      <c r="E95" s="5" t="s">
        <v>44</v>
      </c>
      <c r="F95" s="5" t="s">
        <v>37</v>
      </c>
      <c r="G95" s="5" t="s">
        <v>82</v>
      </c>
      <c r="H95" s="5">
        <v>131</v>
      </c>
      <c r="I95" s="6">
        <v>1425</v>
      </c>
      <c r="J95" s="6">
        <v>186675</v>
      </c>
      <c r="K95" s="5">
        <v>20</v>
      </c>
      <c r="L95" s="6">
        <v>149340</v>
      </c>
      <c r="M95" s="6">
        <v>82557.350000000006</v>
      </c>
      <c r="N95" s="6">
        <v>66782.649999999994</v>
      </c>
      <c r="O95" s="7">
        <v>44.72</v>
      </c>
      <c r="P95" s="5" t="s">
        <v>39</v>
      </c>
    </row>
    <row r="96" spans="1:16" x14ac:dyDescent="0.3">
      <c r="A96" s="2">
        <v>1861</v>
      </c>
      <c r="B96" s="2" t="s">
        <v>70</v>
      </c>
      <c r="C96" s="2" t="s">
        <v>71</v>
      </c>
      <c r="D96" s="2" t="s">
        <v>18</v>
      </c>
      <c r="E96" s="2" t="s">
        <v>42</v>
      </c>
      <c r="F96" s="2" t="s">
        <v>32</v>
      </c>
      <c r="G96" s="2" t="s">
        <v>40</v>
      </c>
      <c r="H96" s="2">
        <v>98</v>
      </c>
      <c r="I96" s="3">
        <v>18676</v>
      </c>
      <c r="J96" s="3">
        <v>1830248</v>
      </c>
      <c r="K96" s="2">
        <v>20</v>
      </c>
      <c r="L96" s="3">
        <v>1464198.4</v>
      </c>
      <c r="M96" s="3">
        <v>1013289.17</v>
      </c>
      <c r="N96" s="3">
        <v>450909.23</v>
      </c>
      <c r="O96" s="4">
        <v>30.8</v>
      </c>
      <c r="P96" s="2" t="s">
        <v>39</v>
      </c>
    </row>
    <row r="97" spans="1:16" x14ac:dyDescent="0.3">
      <c r="A97" s="5">
        <v>2016</v>
      </c>
      <c r="B97" s="5" t="s">
        <v>76</v>
      </c>
      <c r="C97" s="5" t="s">
        <v>77</v>
      </c>
      <c r="D97" s="5" t="s">
        <v>36</v>
      </c>
      <c r="E97" s="5" t="s">
        <v>26</v>
      </c>
      <c r="F97" s="5" t="s">
        <v>20</v>
      </c>
      <c r="G97" s="5" t="s">
        <v>64</v>
      </c>
      <c r="H97" s="5">
        <v>45</v>
      </c>
      <c r="I97" s="6">
        <v>205</v>
      </c>
      <c r="J97" s="6">
        <v>9225</v>
      </c>
      <c r="K97" s="5">
        <v>10</v>
      </c>
      <c r="L97" s="6">
        <v>8302.5</v>
      </c>
      <c r="M97" s="6">
        <v>5239.6000000000004</v>
      </c>
      <c r="N97" s="6">
        <v>3062.9</v>
      </c>
      <c r="O97" s="7">
        <v>36.89</v>
      </c>
      <c r="P97" s="5" t="s">
        <v>43</v>
      </c>
    </row>
    <row r="98" spans="1:16" x14ac:dyDescent="0.3">
      <c r="A98" s="2">
        <v>1749</v>
      </c>
      <c r="B98" s="2" t="s">
        <v>30</v>
      </c>
      <c r="C98" s="2" t="s">
        <v>31</v>
      </c>
      <c r="D98" s="2" t="s">
        <v>18</v>
      </c>
      <c r="E98" s="2" t="s">
        <v>19</v>
      </c>
      <c r="F98" s="2" t="s">
        <v>48</v>
      </c>
      <c r="G98" s="2" t="s">
        <v>51</v>
      </c>
      <c r="H98" s="2">
        <v>96</v>
      </c>
      <c r="I98" s="3">
        <v>2022</v>
      </c>
      <c r="J98" s="3">
        <v>194112</v>
      </c>
      <c r="K98" s="2">
        <v>0</v>
      </c>
      <c r="L98" s="3">
        <v>194112</v>
      </c>
      <c r="M98" s="3">
        <v>107977.9</v>
      </c>
      <c r="N98" s="3">
        <v>86134.1</v>
      </c>
      <c r="O98" s="4">
        <v>44.37</v>
      </c>
      <c r="P98" s="2" t="s">
        <v>22</v>
      </c>
    </row>
    <row r="99" spans="1:16" x14ac:dyDescent="0.3">
      <c r="A99" s="5">
        <v>1624</v>
      </c>
      <c r="B99" s="5" t="s">
        <v>16</v>
      </c>
      <c r="C99" s="5" t="s">
        <v>17</v>
      </c>
      <c r="D99" s="5" t="s">
        <v>18</v>
      </c>
      <c r="E99" s="5" t="s">
        <v>26</v>
      </c>
      <c r="F99" s="5" t="s">
        <v>48</v>
      </c>
      <c r="G99" s="5" t="s">
        <v>51</v>
      </c>
      <c r="H99" s="5">
        <v>166</v>
      </c>
      <c r="I99" s="6">
        <v>2074</v>
      </c>
      <c r="J99" s="6">
        <v>344284</v>
      </c>
      <c r="K99" s="5">
        <v>5</v>
      </c>
      <c r="L99" s="6">
        <v>327069.8</v>
      </c>
      <c r="M99" s="6">
        <v>186481.41</v>
      </c>
      <c r="N99" s="6">
        <v>140588.39000000001</v>
      </c>
      <c r="O99" s="7">
        <v>42.98</v>
      </c>
      <c r="P99" s="5" t="s">
        <v>39</v>
      </c>
    </row>
    <row r="100" spans="1:16" x14ac:dyDescent="0.3">
      <c r="A100" s="2">
        <v>1352</v>
      </c>
      <c r="B100" s="2" t="s">
        <v>57</v>
      </c>
      <c r="C100" s="2" t="s">
        <v>58</v>
      </c>
      <c r="D100" s="2" t="s">
        <v>56</v>
      </c>
      <c r="E100" s="2" t="s">
        <v>42</v>
      </c>
      <c r="F100" s="2" t="s">
        <v>27</v>
      </c>
      <c r="G100" s="2" t="s">
        <v>28</v>
      </c>
      <c r="H100" s="2">
        <v>51</v>
      </c>
      <c r="I100" s="3">
        <v>8757</v>
      </c>
      <c r="J100" s="3">
        <v>446607</v>
      </c>
      <c r="K100" s="2">
        <v>5</v>
      </c>
      <c r="L100" s="3">
        <v>424276.65</v>
      </c>
      <c r="M100" s="3">
        <v>282430.84000000003</v>
      </c>
      <c r="N100" s="3">
        <v>141845.81</v>
      </c>
      <c r="O100" s="4">
        <v>33.43</v>
      </c>
      <c r="P100" s="2" t="s">
        <v>45</v>
      </c>
    </row>
    <row r="101" spans="1:16" x14ac:dyDescent="0.3">
      <c r="A101" s="5">
        <v>1967</v>
      </c>
      <c r="B101" s="5" t="s">
        <v>34</v>
      </c>
      <c r="C101" s="5" t="s">
        <v>35</v>
      </c>
      <c r="D101" s="5" t="s">
        <v>36</v>
      </c>
      <c r="E101" s="5" t="s">
        <v>42</v>
      </c>
      <c r="F101" s="5" t="s">
        <v>20</v>
      </c>
      <c r="G101" s="5" t="s">
        <v>80</v>
      </c>
      <c r="H101" s="5">
        <v>101</v>
      </c>
      <c r="I101" s="6">
        <v>82</v>
      </c>
      <c r="J101" s="6">
        <v>8282</v>
      </c>
      <c r="K101" s="5">
        <v>0</v>
      </c>
      <c r="L101" s="6">
        <v>8282</v>
      </c>
      <c r="M101" s="6">
        <v>5452.84</v>
      </c>
      <c r="N101" s="6">
        <v>2829.16</v>
      </c>
      <c r="O101" s="7">
        <v>34.159999999999997</v>
      </c>
      <c r="P101" s="5" t="s">
        <v>29</v>
      </c>
    </row>
    <row r="102" spans="1:16" x14ac:dyDescent="0.3">
      <c r="A102" s="2">
        <v>1031</v>
      </c>
      <c r="B102" s="2" t="s">
        <v>62</v>
      </c>
      <c r="C102" s="2" t="s">
        <v>63</v>
      </c>
      <c r="D102" s="2" t="s">
        <v>25</v>
      </c>
      <c r="E102" s="2" t="s">
        <v>19</v>
      </c>
      <c r="F102" s="2" t="s">
        <v>37</v>
      </c>
      <c r="G102" s="2" t="s">
        <v>59</v>
      </c>
      <c r="H102" s="2">
        <v>85</v>
      </c>
      <c r="I102" s="3">
        <v>490</v>
      </c>
      <c r="J102" s="3">
        <v>41650</v>
      </c>
      <c r="K102" s="2">
        <v>10</v>
      </c>
      <c r="L102" s="3">
        <v>37485</v>
      </c>
      <c r="M102" s="3">
        <v>23080.080000000002</v>
      </c>
      <c r="N102" s="3">
        <v>14404.92</v>
      </c>
      <c r="O102" s="4">
        <v>38.43</v>
      </c>
      <c r="P102" s="2" t="s">
        <v>39</v>
      </c>
    </row>
    <row r="103" spans="1:16" x14ac:dyDescent="0.3">
      <c r="A103" s="5">
        <v>1916</v>
      </c>
      <c r="B103" s="5" t="s">
        <v>34</v>
      </c>
      <c r="C103" s="5" t="s">
        <v>35</v>
      </c>
      <c r="D103" s="5" t="s">
        <v>36</v>
      </c>
      <c r="E103" s="5" t="s">
        <v>26</v>
      </c>
      <c r="F103" s="5" t="s">
        <v>20</v>
      </c>
      <c r="G103" s="5" t="s">
        <v>64</v>
      </c>
      <c r="H103" s="5">
        <v>162</v>
      </c>
      <c r="I103" s="6">
        <v>187</v>
      </c>
      <c r="J103" s="6">
        <v>30294</v>
      </c>
      <c r="K103" s="5">
        <v>0</v>
      </c>
      <c r="L103" s="6">
        <v>30294</v>
      </c>
      <c r="M103" s="6">
        <v>19366.490000000002</v>
      </c>
      <c r="N103" s="6">
        <v>10927.51</v>
      </c>
      <c r="O103" s="7">
        <v>36.07</v>
      </c>
      <c r="P103" s="5" t="s">
        <v>50</v>
      </c>
    </row>
    <row r="104" spans="1:16" x14ac:dyDescent="0.3">
      <c r="A104" s="2">
        <v>1412</v>
      </c>
      <c r="B104" s="2" t="s">
        <v>54</v>
      </c>
      <c r="C104" s="2" t="s">
        <v>55</v>
      </c>
      <c r="D104" s="2" t="s">
        <v>56</v>
      </c>
      <c r="E104" s="2" t="s">
        <v>26</v>
      </c>
      <c r="F104" s="2" t="s">
        <v>32</v>
      </c>
      <c r="G104" s="2" t="s">
        <v>75</v>
      </c>
      <c r="H104" s="2">
        <v>93</v>
      </c>
      <c r="I104" s="3">
        <v>12727</v>
      </c>
      <c r="J104" s="3">
        <v>1183611</v>
      </c>
      <c r="K104" s="2">
        <v>20</v>
      </c>
      <c r="L104" s="3">
        <v>946888.8</v>
      </c>
      <c r="M104" s="3">
        <v>628965.53</v>
      </c>
      <c r="N104" s="3">
        <v>317923.27</v>
      </c>
      <c r="O104" s="4">
        <v>33.58</v>
      </c>
      <c r="P104" s="2" t="s">
        <v>41</v>
      </c>
    </row>
    <row r="105" spans="1:16" x14ac:dyDescent="0.3">
      <c r="A105" s="5">
        <v>1001</v>
      </c>
      <c r="B105" s="5" t="s">
        <v>62</v>
      </c>
      <c r="C105" s="5" t="s">
        <v>63</v>
      </c>
      <c r="D105" s="5" t="s">
        <v>25</v>
      </c>
      <c r="E105" s="5" t="s">
        <v>26</v>
      </c>
      <c r="F105" s="5" t="s">
        <v>27</v>
      </c>
      <c r="G105" s="5" t="s">
        <v>85</v>
      </c>
      <c r="H105" s="5">
        <v>30</v>
      </c>
      <c r="I105" s="6">
        <v>12580</v>
      </c>
      <c r="J105" s="6">
        <v>377400</v>
      </c>
      <c r="K105" s="5">
        <v>5</v>
      </c>
      <c r="L105" s="6">
        <v>358530</v>
      </c>
      <c r="M105" s="6">
        <v>209195.66</v>
      </c>
      <c r="N105" s="6">
        <v>149334.34</v>
      </c>
      <c r="O105" s="7">
        <v>41.65</v>
      </c>
      <c r="P105" s="5" t="s">
        <v>29</v>
      </c>
    </row>
    <row r="106" spans="1:16" x14ac:dyDescent="0.3">
      <c r="A106" s="2">
        <v>1744</v>
      </c>
      <c r="B106" s="2" t="s">
        <v>30</v>
      </c>
      <c r="C106" s="2" t="s">
        <v>31</v>
      </c>
      <c r="D106" s="2" t="s">
        <v>18</v>
      </c>
      <c r="E106" s="2" t="s">
        <v>19</v>
      </c>
      <c r="F106" s="2" t="s">
        <v>20</v>
      </c>
      <c r="G106" s="2" t="s">
        <v>68</v>
      </c>
      <c r="H106" s="2">
        <v>123</v>
      </c>
      <c r="I106" s="3">
        <v>153</v>
      </c>
      <c r="J106" s="3">
        <v>18819</v>
      </c>
      <c r="K106" s="2">
        <v>0</v>
      </c>
      <c r="L106" s="3">
        <v>18819</v>
      </c>
      <c r="M106" s="3">
        <v>11360.18</v>
      </c>
      <c r="N106" s="3">
        <v>7458.82</v>
      </c>
      <c r="O106" s="4">
        <v>39.630000000000003</v>
      </c>
      <c r="P106" s="2" t="s">
        <v>29</v>
      </c>
    </row>
    <row r="107" spans="1:16" x14ac:dyDescent="0.3">
      <c r="A107" s="5">
        <v>1279</v>
      </c>
      <c r="B107" s="5" t="s">
        <v>52</v>
      </c>
      <c r="C107" s="5" t="s">
        <v>53</v>
      </c>
      <c r="D107" s="5" t="s">
        <v>25</v>
      </c>
      <c r="E107" s="5" t="s">
        <v>44</v>
      </c>
      <c r="F107" s="5" t="s">
        <v>27</v>
      </c>
      <c r="G107" s="5" t="s">
        <v>66</v>
      </c>
      <c r="H107" s="5">
        <v>25</v>
      </c>
      <c r="I107" s="6">
        <v>854</v>
      </c>
      <c r="J107" s="6">
        <v>21350</v>
      </c>
      <c r="K107" s="5">
        <v>20</v>
      </c>
      <c r="L107" s="6">
        <v>17080</v>
      </c>
      <c r="M107" s="6">
        <v>10922.85</v>
      </c>
      <c r="N107" s="6">
        <v>6157.15</v>
      </c>
      <c r="O107" s="7">
        <v>36.049999999999997</v>
      </c>
      <c r="P107" s="5" t="s">
        <v>43</v>
      </c>
    </row>
    <row r="108" spans="1:16" x14ac:dyDescent="0.3">
      <c r="A108" s="2">
        <v>2069</v>
      </c>
      <c r="B108" s="2" t="s">
        <v>76</v>
      </c>
      <c r="C108" s="2" t="s">
        <v>77</v>
      </c>
      <c r="D108" s="2" t="s">
        <v>36</v>
      </c>
      <c r="E108" s="2" t="s">
        <v>42</v>
      </c>
      <c r="F108" s="2" t="s">
        <v>20</v>
      </c>
      <c r="G108" s="2" t="s">
        <v>68</v>
      </c>
      <c r="H108" s="2">
        <v>212</v>
      </c>
      <c r="I108" s="3">
        <v>148</v>
      </c>
      <c r="J108" s="3">
        <v>31376</v>
      </c>
      <c r="K108" s="2">
        <v>5</v>
      </c>
      <c r="L108" s="3">
        <v>29807.200000000001</v>
      </c>
      <c r="M108" s="3">
        <v>17891.63</v>
      </c>
      <c r="N108" s="3">
        <v>11915.57</v>
      </c>
      <c r="O108" s="4">
        <v>39.979999999999997</v>
      </c>
      <c r="P108" s="2" t="s">
        <v>50</v>
      </c>
    </row>
    <row r="109" spans="1:16" x14ac:dyDescent="0.3">
      <c r="A109" s="5">
        <v>1678</v>
      </c>
      <c r="B109" s="5" t="s">
        <v>16</v>
      </c>
      <c r="C109" s="5" t="s">
        <v>17</v>
      </c>
      <c r="D109" s="5" t="s">
        <v>18</v>
      </c>
      <c r="E109" s="5" t="s">
        <v>44</v>
      </c>
      <c r="F109" s="5" t="s">
        <v>27</v>
      </c>
      <c r="G109" s="5" t="s">
        <v>83</v>
      </c>
      <c r="H109" s="5">
        <v>62</v>
      </c>
      <c r="I109" s="6">
        <v>4550</v>
      </c>
      <c r="J109" s="6">
        <v>282100</v>
      </c>
      <c r="K109" s="5">
        <v>0</v>
      </c>
      <c r="L109" s="6">
        <v>282100</v>
      </c>
      <c r="M109" s="6">
        <v>192144.25</v>
      </c>
      <c r="N109" s="6">
        <v>89955.75</v>
      </c>
      <c r="O109" s="7">
        <v>31.89</v>
      </c>
      <c r="P109" s="5" t="s">
        <v>50</v>
      </c>
    </row>
    <row r="110" spans="1:16" x14ac:dyDescent="0.3">
      <c r="A110" s="5">
        <v>1582</v>
      </c>
      <c r="B110" s="5" t="s">
        <v>73</v>
      </c>
      <c r="C110" s="5" t="s">
        <v>74</v>
      </c>
      <c r="D110" s="5" t="s">
        <v>56</v>
      </c>
      <c r="E110" s="5" t="s">
        <v>44</v>
      </c>
      <c r="F110" s="5" t="s">
        <v>37</v>
      </c>
      <c r="G110" s="5" t="s">
        <v>79</v>
      </c>
      <c r="H110" s="5">
        <v>124</v>
      </c>
      <c r="I110" s="6">
        <v>1301</v>
      </c>
      <c r="J110" s="6">
        <v>161324</v>
      </c>
      <c r="K110" s="5">
        <v>10</v>
      </c>
      <c r="L110" s="6">
        <v>145191.6</v>
      </c>
      <c r="M110" s="6">
        <v>81152.429999999993</v>
      </c>
      <c r="N110" s="6">
        <v>64039.17</v>
      </c>
      <c r="O110" s="7">
        <v>44.11</v>
      </c>
      <c r="P110" s="5" t="s">
        <v>61</v>
      </c>
    </row>
    <row r="111" spans="1:16" x14ac:dyDescent="0.3">
      <c r="A111" s="2">
        <v>1402</v>
      </c>
      <c r="B111" s="2" t="s">
        <v>54</v>
      </c>
      <c r="C111" s="2" t="s">
        <v>55</v>
      </c>
      <c r="D111" s="2" t="s">
        <v>56</v>
      </c>
      <c r="E111" s="2" t="s">
        <v>26</v>
      </c>
      <c r="F111" s="2" t="s">
        <v>27</v>
      </c>
      <c r="G111" s="2" t="s">
        <v>28</v>
      </c>
      <c r="H111" s="2">
        <v>50</v>
      </c>
      <c r="I111" s="3">
        <v>8061</v>
      </c>
      <c r="J111" s="3">
        <v>403050</v>
      </c>
      <c r="K111" s="2">
        <v>5</v>
      </c>
      <c r="L111" s="3">
        <v>382897.5</v>
      </c>
      <c r="M111" s="3">
        <v>259375.2</v>
      </c>
      <c r="N111" s="3">
        <v>123522.3</v>
      </c>
      <c r="O111" s="4">
        <v>32.26</v>
      </c>
      <c r="P111" s="2" t="s">
        <v>50</v>
      </c>
    </row>
    <row r="112" spans="1:16" x14ac:dyDescent="0.3">
      <c r="A112" s="5">
        <v>1531</v>
      </c>
      <c r="B112" s="5" t="s">
        <v>73</v>
      </c>
      <c r="C112" s="5" t="s">
        <v>74</v>
      </c>
      <c r="D112" s="5" t="s">
        <v>56</v>
      </c>
      <c r="E112" s="5" t="s">
        <v>19</v>
      </c>
      <c r="F112" s="5" t="s">
        <v>37</v>
      </c>
      <c r="G112" s="5" t="s">
        <v>59</v>
      </c>
      <c r="H112" s="5">
        <v>37</v>
      </c>
      <c r="I112" s="6">
        <v>521</v>
      </c>
      <c r="J112" s="6">
        <v>19277</v>
      </c>
      <c r="K112" s="5">
        <v>0</v>
      </c>
      <c r="L112" s="6">
        <v>19277</v>
      </c>
      <c r="M112" s="6">
        <v>11076.08</v>
      </c>
      <c r="N112" s="6">
        <v>8200.92</v>
      </c>
      <c r="O112" s="7">
        <v>42.54</v>
      </c>
      <c r="P112" s="5" t="s">
        <v>41</v>
      </c>
    </row>
    <row r="113" spans="1:16" x14ac:dyDescent="0.3">
      <c r="A113" s="2">
        <v>1926</v>
      </c>
      <c r="B113" s="2" t="s">
        <v>34</v>
      </c>
      <c r="C113" s="2" t="s">
        <v>35</v>
      </c>
      <c r="D113" s="2" t="s">
        <v>36</v>
      </c>
      <c r="E113" s="2" t="s">
        <v>19</v>
      </c>
      <c r="F113" s="2" t="s">
        <v>27</v>
      </c>
      <c r="G113" s="2" t="s">
        <v>85</v>
      </c>
      <c r="H113" s="2">
        <v>105</v>
      </c>
      <c r="I113" s="3">
        <v>13193</v>
      </c>
      <c r="J113" s="3">
        <v>1385265</v>
      </c>
      <c r="K113" s="2">
        <v>5</v>
      </c>
      <c r="L113" s="3">
        <v>1316001.75</v>
      </c>
      <c r="M113" s="3">
        <v>771634.03</v>
      </c>
      <c r="N113" s="3">
        <v>544367.72</v>
      </c>
      <c r="O113" s="4">
        <v>41.37</v>
      </c>
      <c r="P113" s="2" t="s">
        <v>50</v>
      </c>
    </row>
    <row r="114" spans="1:16" x14ac:dyDescent="0.3">
      <c r="A114" s="5">
        <v>1656</v>
      </c>
      <c r="B114" s="5" t="s">
        <v>16</v>
      </c>
      <c r="C114" s="5" t="s">
        <v>17</v>
      </c>
      <c r="D114" s="5" t="s">
        <v>18</v>
      </c>
      <c r="E114" s="5" t="s">
        <v>42</v>
      </c>
      <c r="F114" s="5" t="s">
        <v>37</v>
      </c>
      <c r="G114" s="5" t="s">
        <v>59</v>
      </c>
      <c r="H114" s="5">
        <v>24</v>
      </c>
      <c r="I114" s="6">
        <v>477</v>
      </c>
      <c r="J114" s="6">
        <v>11448</v>
      </c>
      <c r="K114" s="5">
        <v>0</v>
      </c>
      <c r="L114" s="6">
        <v>11448</v>
      </c>
      <c r="M114" s="6">
        <v>7285.99</v>
      </c>
      <c r="N114" s="6">
        <v>4162.01</v>
      </c>
      <c r="O114" s="7">
        <v>36.36</v>
      </c>
      <c r="P114" s="5" t="s">
        <v>61</v>
      </c>
    </row>
    <row r="115" spans="1:16" x14ac:dyDescent="0.3">
      <c r="A115" s="5">
        <v>2004</v>
      </c>
      <c r="B115" s="5" t="s">
        <v>76</v>
      </c>
      <c r="C115" s="5" t="s">
        <v>77</v>
      </c>
      <c r="D115" s="5" t="s">
        <v>36</v>
      </c>
      <c r="E115" s="5" t="s">
        <v>26</v>
      </c>
      <c r="F115" s="5" t="s">
        <v>27</v>
      </c>
      <c r="G115" s="5" t="s">
        <v>66</v>
      </c>
      <c r="H115" s="5">
        <v>113</v>
      </c>
      <c r="I115" s="6">
        <v>800</v>
      </c>
      <c r="J115" s="6">
        <v>90400</v>
      </c>
      <c r="K115" s="5">
        <v>5</v>
      </c>
      <c r="L115" s="6">
        <v>85880</v>
      </c>
      <c r="M115" s="6">
        <v>52020.74</v>
      </c>
      <c r="N115" s="6">
        <v>33859.26</v>
      </c>
      <c r="O115" s="7">
        <v>39.43</v>
      </c>
      <c r="P115" s="5" t="s">
        <v>50</v>
      </c>
    </row>
    <row r="116" spans="1:16" x14ac:dyDescent="0.3">
      <c r="A116" s="2">
        <v>1034</v>
      </c>
      <c r="B116" s="2" t="s">
        <v>62</v>
      </c>
      <c r="C116" s="2" t="s">
        <v>63</v>
      </c>
      <c r="D116" s="2" t="s">
        <v>25</v>
      </c>
      <c r="E116" s="2" t="s">
        <v>19</v>
      </c>
      <c r="F116" s="2" t="s">
        <v>37</v>
      </c>
      <c r="G116" s="2" t="s">
        <v>82</v>
      </c>
      <c r="H116" s="2">
        <v>100</v>
      </c>
      <c r="I116" s="3">
        <v>1371</v>
      </c>
      <c r="J116" s="3">
        <v>137100</v>
      </c>
      <c r="K116" s="2">
        <v>5</v>
      </c>
      <c r="L116" s="3">
        <v>130245</v>
      </c>
      <c r="M116" s="3">
        <v>77075.289999999994</v>
      </c>
      <c r="N116" s="3">
        <v>53169.71</v>
      </c>
      <c r="O116" s="4">
        <v>40.82</v>
      </c>
      <c r="P116" s="2" t="s">
        <v>39</v>
      </c>
    </row>
    <row r="117" spans="1:16" x14ac:dyDescent="0.3">
      <c r="A117" s="5">
        <v>1048</v>
      </c>
      <c r="B117" s="5" t="s">
        <v>62</v>
      </c>
      <c r="C117" s="5" t="s">
        <v>63</v>
      </c>
      <c r="D117" s="5" t="s">
        <v>25</v>
      </c>
      <c r="E117" s="5" t="s">
        <v>19</v>
      </c>
      <c r="F117" s="5" t="s">
        <v>48</v>
      </c>
      <c r="G117" s="5" t="s">
        <v>49</v>
      </c>
      <c r="H117" s="5">
        <v>72</v>
      </c>
      <c r="I117" s="6">
        <v>726</v>
      </c>
      <c r="J117" s="6">
        <v>52272</v>
      </c>
      <c r="K117" s="5">
        <v>0</v>
      </c>
      <c r="L117" s="6">
        <v>52272</v>
      </c>
      <c r="M117" s="6">
        <v>32036.66</v>
      </c>
      <c r="N117" s="6">
        <v>20235.34</v>
      </c>
      <c r="O117" s="7">
        <v>38.71</v>
      </c>
      <c r="P117" s="5" t="s">
        <v>41</v>
      </c>
    </row>
    <row r="118" spans="1:16" x14ac:dyDescent="0.3">
      <c r="A118" s="2">
        <v>1648</v>
      </c>
      <c r="B118" s="2" t="s">
        <v>16</v>
      </c>
      <c r="C118" s="2" t="s">
        <v>17</v>
      </c>
      <c r="D118" s="2" t="s">
        <v>18</v>
      </c>
      <c r="E118" s="2" t="s">
        <v>19</v>
      </c>
      <c r="F118" s="2" t="s">
        <v>48</v>
      </c>
      <c r="G118" s="2" t="s">
        <v>49</v>
      </c>
      <c r="H118" s="2">
        <v>40</v>
      </c>
      <c r="I118" s="3">
        <v>761</v>
      </c>
      <c r="J118" s="3">
        <v>30440</v>
      </c>
      <c r="K118" s="2">
        <v>0</v>
      </c>
      <c r="L118" s="3">
        <v>30440</v>
      </c>
      <c r="M118" s="3">
        <v>21065.65</v>
      </c>
      <c r="N118" s="3">
        <v>9374.35</v>
      </c>
      <c r="O118" s="4">
        <v>30.8</v>
      </c>
      <c r="P118" s="2" t="s">
        <v>41</v>
      </c>
    </row>
    <row r="119" spans="1:16" x14ac:dyDescent="0.3">
      <c r="A119" s="5">
        <v>1914</v>
      </c>
      <c r="B119" s="5" t="s">
        <v>34</v>
      </c>
      <c r="C119" s="5" t="s">
        <v>35</v>
      </c>
      <c r="D119" s="5" t="s">
        <v>36</v>
      </c>
      <c r="E119" s="5" t="s">
        <v>26</v>
      </c>
      <c r="F119" s="5" t="s">
        <v>32</v>
      </c>
      <c r="G119" s="5" t="s">
        <v>33</v>
      </c>
      <c r="H119" s="5">
        <v>179</v>
      </c>
      <c r="I119" s="6">
        <v>9500</v>
      </c>
      <c r="J119" s="6">
        <v>1700500</v>
      </c>
      <c r="K119" s="5">
        <v>5</v>
      </c>
      <c r="L119" s="6">
        <v>1615475</v>
      </c>
      <c r="M119" s="6">
        <v>1085051.77</v>
      </c>
      <c r="N119" s="6">
        <v>530423.23</v>
      </c>
      <c r="O119" s="7">
        <v>32.83</v>
      </c>
      <c r="P119" s="5" t="s">
        <v>29</v>
      </c>
    </row>
    <row r="120" spans="1:16" x14ac:dyDescent="0.3">
      <c r="A120" s="2">
        <v>1537</v>
      </c>
      <c r="B120" s="2" t="s">
        <v>73</v>
      </c>
      <c r="C120" s="2" t="s">
        <v>74</v>
      </c>
      <c r="D120" s="2" t="s">
        <v>56</v>
      </c>
      <c r="E120" s="2" t="s">
        <v>19</v>
      </c>
      <c r="F120" s="2" t="s">
        <v>32</v>
      </c>
      <c r="G120" s="2" t="s">
        <v>75</v>
      </c>
      <c r="H120" s="2">
        <v>51</v>
      </c>
      <c r="I120" s="3">
        <v>12021</v>
      </c>
      <c r="J120" s="3">
        <v>613071</v>
      </c>
      <c r="K120" s="2">
        <v>0</v>
      </c>
      <c r="L120" s="3">
        <v>613071</v>
      </c>
      <c r="M120" s="3">
        <v>416154.65</v>
      </c>
      <c r="N120" s="3">
        <v>196916.35</v>
      </c>
      <c r="O120" s="4">
        <v>32.119999999999997</v>
      </c>
      <c r="P120" s="2" t="s">
        <v>43</v>
      </c>
    </row>
    <row r="121" spans="1:16" x14ac:dyDescent="0.3">
      <c r="A121" s="5">
        <v>1606</v>
      </c>
      <c r="B121" s="5" t="s">
        <v>16</v>
      </c>
      <c r="C121" s="5" t="s">
        <v>17</v>
      </c>
      <c r="D121" s="5" t="s">
        <v>18</v>
      </c>
      <c r="E121" s="5" t="s">
        <v>26</v>
      </c>
      <c r="F121" s="5" t="s">
        <v>37</v>
      </c>
      <c r="G121" s="5" t="s">
        <v>59</v>
      </c>
      <c r="H121" s="5">
        <v>40</v>
      </c>
      <c r="I121" s="6">
        <v>504</v>
      </c>
      <c r="J121" s="6">
        <v>20160</v>
      </c>
      <c r="K121" s="5">
        <v>0</v>
      </c>
      <c r="L121" s="6">
        <v>20160</v>
      </c>
      <c r="M121" s="6">
        <v>12209.97</v>
      </c>
      <c r="N121" s="6">
        <v>7950.03</v>
      </c>
      <c r="O121" s="7">
        <v>39.43</v>
      </c>
      <c r="P121" s="5" t="s">
        <v>22</v>
      </c>
    </row>
    <row r="122" spans="1:16" x14ac:dyDescent="0.3">
      <c r="A122" s="2">
        <v>1558</v>
      </c>
      <c r="B122" s="2" t="s">
        <v>73</v>
      </c>
      <c r="C122" s="2" t="s">
        <v>74</v>
      </c>
      <c r="D122" s="2" t="s">
        <v>56</v>
      </c>
      <c r="E122" s="2" t="s">
        <v>42</v>
      </c>
      <c r="F122" s="2" t="s">
        <v>37</v>
      </c>
      <c r="G122" s="2" t="s">
        <v>38</v>
      </c>
      <c r="H122" s="2">
        <v>45</v>
      </c>
      <c r="I122" s="3">
        <v>2084</v>
      </c>
      <c r="J122" s="3">
        <v>93780</v>
      </c>
      <c r="K122" s="2">
        <v>10</v>
      </c>
      <c r="L122" s="3">
        <v>84402</v>
      </c>
      <c r="M122" s="3">
        <v>51437.67</v>
      </c>
      <c r="N122" s="3">
        <v>32964.33</v>
      </c>
      <c r="O122" s="4">
        <v>39.06</v>
      </c>
      <c r="P122" s="2" t="s">
        <v>43</v>
      </c>
    </row>
    <row r="123" spans="1:16" x14ac:dyDescent="0.3">
      <c r="A123" s="5">
        <v>1141</v>
      </c>
      <c r="B123" s="5" t="s">
        <v>23</v>
      </c>
      <c r="C123" s="5" t="s">
        <v>24</v>
      </c>
      <c r="D123" s="5" t="s">
        <v>25</v>
      </c>
      <c r="E123" s="5" t="s">
        <v>19</v>
      </c>
      <c r="F123" s="5" t="s">
        <v>20</v>
      </c>
      <c r="G123" s="5" t="s">
        <v>64</v>
      </c>
      <c r="H123" s="5">
        <v>62</v>
      </c>
      <c r="I123" s="6">
        <v>199</v>
      </c>
      <c r="J123" s="6">
        <v>12338</v>
      </c>
      <c r="K123" s="5">
        <v>5</v>
      </c>
      <c r="L123" s="6">
        <v>11721.1</v>
      </c>
      <c r="M123" s="6">
        <v>7676.85</v>
      </c>
      <c r="N123" s="6">
        <v>4044.25</v>
      </c>
      <c r="O123" s="7">
        <v>34.5</v>
      </c>
      <c r="P123" s="5" t="s">
        <v>50</v>
      </c>
    </row>
    <row r="124" spans="1:16" x14ac:dyDescent="0.3">
      <c r="A124" s="2">
        <v>1629</v>
      </c>
      <c r="B124" s="2" t="s">
        <v>16</v>
      </c>
      <c r="C124" s="2" t="s">
        <v>17</v>
      </c>
      <c r="D124" s="2" t="s">
        <v>18</v>
      </c>
      <c r="E124" s="2" t="s">
        <v>19</v>
      </c>
      <c r="F124" s="2" t="s">
        <v>27</v>
      </c>
      <c r="G124" s="2" t="s">
        <v>66</v>
      </c>
      <c r="H124" s="2">
        <v>140</v>
      </c>
      <c r="I124" s="3">
        <v>760</v>
      </c>
      <c r="J124" s="3">
        <v>106400</v>
      </c>
      <c r="K124" s="2">
        <v>20</v>
      </c>
      <c r="L124" s="3">
        <v>85120</v>
      </c>
      <c r="M124" s="3">
        <v>47461.54</v>
      </c>
      <c r="N124" s="3">
        <v>37658.46</v>
      </c>
      <c r="O124" s="4">
        <v>44.24</v>
      </c>
      <c r="P124" s="2" t="s">
        <v>41</v>
      </c>
    </row>
    <row r="125" spans="1:16" x14ac:dyDescent="0.3">
      <c r="A125" s="5">
        <v>1356</v>
      </c>
      <c r="B125" s="5" t="s">
        <v>57</v>
      </c>
      <c r="C125" s="5" t="s">
        <v>58</v>
      </c>
      <c r="D125" s="5" t="s">
        <v>56</v>
      </c>
      <c r="E125" s="5" t="s">
        <v>42</v>
      </c>
      <c r="F125" s="5" t="s">
        <v>37</v>
      </c>
      <c r="G125" s="5" t="s">
        <v>59</v>
      </c>
      <c r="H125" s="5">
        <v>151</v>
      </c>
      <c r="I125" s="6">
        <v>458</v>
      </c>
      <c r="J125" s="6">
        <v>69158</v>
      </c>
      <c r="K125" s="5">
        <v>20</v>
      </c>
      <c r="L125" s="6">
        <v>55326.400000000001</v>
      </c>
      <c r="M125" s="6">
        <v>35873.410000000003</v>
      </c>
      <c r="N125" s="6">
        <v>19452.990000000002</v>
      </c>
      <c r="O125" s="7">
        <v>35.159999999999997</v>
      </c>
      <c r="P125" s="5" t="s">
        <v>39</v>
      </c>
    </row>
    <row r="126" spans="1:16" x14ac:dyDescent="0.3">
      <c r="A126" s="2">
        <v>2122</v>
      </c>
      <c r="B126" s="2" t="s">
        <v>46</v>
      </c>
      <c r="C126" s="2" t="s">
        <v>47</v>
      </c>
      <c r="D126" s="2" t="s">
        <v>36</v>
      </c>
      <c r="E126" s="2" t="s">
        <v>26</v>
      </c>
      <c r="F126" s="2" t="s">
        <v>48</v>
      </c>
      <c r="G126" s="2" t="s">
        <v>78</v>
      </c>
      <c r="H126" s="2">
        <v>224</v>
      </c>
      <c r="I126" s="3">
        <v>549</v>
      </c>
      <c r="J126" s="3">
        <v>122976</v>
      </c>
      <c r="K126" s="2">
        <v>20</v>
      </c>
      <c r="L126" s="3">
        <v>98380.800000000003</v>
      </c>
      <c r="M126" s="3">
        <v>54911.33</v>
      </c>
      <c r="N126" s="3">
        <v>43469.47</v>
      </c>
      <c r="O126" s="4">
        <v>44.18</v>
      </c>
      <c r="P126" s="2" t="s">
        <v>22</v>
      </c>
    </row>
    <row r="127" spans="1:16" x14ac:dyDescent="0.3">
      <c r="A127" s="5">
        <v>1022</v>
      </c>
      <c r="B127" s="5" t="s">
        <v>62</v>
      </c>
      <c r="C127" s="5" t="s">
        <v>63</v>
      </c>
      <c r="D127" s="5" t="s">
        <v>25</v>
      </c>
      <c r="E127" s="5" t="s">
        <v>26</v>
      </c>
      <c r="F127" s="5" t="s">
        <v>48</v>
      </c>
      <c r="G127" s="5" t="s">
        <v>78</v>
      </c>
      <c r="H127" s="5">
        <v>95</v>
      </c>
      <c r="I127" s="6">
        <v>554</v>
      </c>
      <c r="J127" s="6">
        <v>52630</v>
      </c>
      <c r="K127" s="5">
        <v>5</v>
      </c>
      <c r="L127" s="6">
        <v>49998.5</v>
      </c>
      <c r="M127" s="6">
        <v>33263.49</v>
      </c>
      <c r="N127" s="6">
        <v>16735.009999999998</v>
      </c>
      <c r="O127" s="7">
        <v>33.47</v>
      </c>
      <c r="P127" s="5" t="s">
        <v>41</v>
      </c>
    </row>
    <row r="128" spans="1:16" x14ac:dyDescent="0.3">
      <c r="A128" s="2">
        <v>1206</v>
      </c>
      <c r="B128" s="2" t="s">
        <v>52</v>
      </c>
      <c r="C128" s="2" t="s">
        <v>53</v>
      </c>
      <c r="D128" s="2" t="s">
        <v>25</v>
      </c>
      <c r="E128" s="2" t="s">
        <v>26</v>
      </c>
      <c r="F128" s="2" t="s">
        <v>37</v>
      </c>
      <c r="G128" s="2" t="s">
        <v>59</v>
      </c>
      <c r="H128" s="2">
        <v>42</v>
      </c>
      <c r="I128" s="3">
        <v>455</v>
      </c>
      <c r="J128" s="3">
        <v>19110</v>
      </c>
      <c r="K128" s="2">
        <v>15</v>
      </c>
      <c r="L128" s="3">
        <v>16243.5</v>
      </c>
      <c r="M128" s="3">
        <v>10215.75</v>
      </c>
      <c r="N128" s="3">
        <v>6027.75</v>
      </c>
      <c r="O128" s="4">
        <v>37.11</v>
      </c>
      <c r="P128" s="2" t="s">
        <v>29</v>
      </c>
    </row>
    <row r="129" spans="1:16" x14ac:dyDescent="0.3">
      <c r="A129" s="5">
        <v>1605</v>
      </c>
      <c r="B129" s="5" t="s">
        <v>16</v>
      </c>
      <c r="C129" s="5" t="s">
        <v>17</v>
      </c>
      <c r="D129" s="5" t="s">
        <v>18</v>
      </c>
      <c r="E129" s="5" t="s">
        <v>26</v>
      </c>
      <c r="F129" s="5" t="s">
        <v>27</v>
      </c>
      <c r="G129" s="5" t="s">
        <v>84</v>
      </c>
      <c r="H129" s="5">
        <v>76</v>
      </c>
      <c r="I129" s="6">
        <v>14692</v>
      </c>
      <c r="J129" s="6">
        <v>1116592</v>
      </c>
      <c r="K129" s="5">
        <v>20</v>
      </c>
      <c r="L129" s="6">
        <v>893273.59999999998</v>
      </c>
      <c r="M129" s="6">
        <v>611206.04</v>
      </c>
      <c r="N129" s="6">
        <v>282067.56</v>
      </c>
      <c r="O129" s="7">
        <v>31.58</v>
      </c>
      <c r="P129" s="5" t="s">
        <v>50</v>
      </c>
    </row>
    <row r="130" spans="1:16" x14ac:dyDescent="0.3">
      <c r="A130" s="2">
        <v>1089</v>
      </c>
      <c r="B130" s="2" t="s">
        <v>62</v>
      </c>
      <c r="C130" s="2" t="s">
        <v>63</v>
      </c>
      <c r="D130" s="2" t="s">
        <v>25</v>
      </c>
      <c r="E130" s="2" t="s">
        <v>44</v>
      </c>
      <c r="F130" s="2" t="s">
        <v>32</v>
      </c>
      <c r="G130" s="2" t="s">
        <v>33</v>
      </c>
      <c r="H130" s="2">
        <v>109</v>
      </c>
      <c r="I130" s="3">
        <v>10487</v>
      </c>
      <c r="J130" s="3">
        <v>1143083</v>
      </c>
      <c r="K130" s="2">
        <v>20</v>
      </c>
      <c r="L130" s="3">
        <v>914466.4</v>
      </c>
      <c r="M130" s="3">
        <v>564692.56999999995</v>
      </c>
      <c r="N130" s="3">
        <v>349773.83</v>
      </c>
      <c r="O130" s="4">
        <v>38.25</v>
      </c>
      <c r="P130" s="2" t="s">
        <v>45</v>
      </c>
    </row>
    <row r="131" spans="1:16" x14ac:dyDescent="0.3">
      <c r="A131" s="5">
        <v>1362</v>
      </c>
      <c r="B131" s="5" t="s">
        <v>57</v>
      </c>
      <c r="C131" s="5" t="s">
        <v>58</v>
      </c>
      <c r="D131" s="5" t="s">
        <v>56</v>
      </c>
      <c r="E131" s="5" t="s">
        <v>42</v>
      </c>
      <c r="F131" s="5" t="s">
        <v>32</v>
      </c>
      <c r="G131" s="5" t="s">
        <v>75</v>
      </c>
      <c r="H131" s="5">
        <v>124</v>
      </c>
      <c r="I131" s="6">
        <v>11489</v>
      </c>
      <c r="J131" s="6">
        <v>1424636</v>
      </c>
      <c r="K131" s="5">
        <v>5</v>
      </c>
      <c r="L131" s="6">
        <v>1353404.2</v>
      </c>
      <c r="M131" s="6">
        <v>875496.45</v>
      </c>
      <c r="N131" s="6">
        <v>477907.75</v>
      </c>
      <c r="O131" s="7">
        <v>35.31</v>
      </c>
      <c r="P131" s="5" t="s">
        <v>29</v>
      </c>
    </row>
    <row r="132" spans="1:16" x14ac:dyDescent="0.3">
      <c r="A132" s="2">
        <v>1239</v>
      </c>
      <c r="B132" s="2" t="s">
        <v>52</v>
      </c>
      <c r="C132" s="2" t="s">
        <v>53</v>
      </c>
      <c r="D132" s="2" t="s">
        <v>25</v>
      </c>
      <c r="E132" s="2" t="s">
        <v>19</v>
      </c>
      <c r="F132" s="2" t="s">
        <v>32</v>
      </c>
      <c r="G132" s="2" t="s">
        <v>33</v>
      </c>
      <c r="H132" s="2">
        <v>44</v>
      </c>
      <c r="I132" s="3">
        <v>10178</v>
      </c>
      <c r="J132" s="3">
        <v>447832</v>
      </c>
      <c r="K132" s="2">
        <v>0</v>
      </c>
      <c r="L132" s="3">
        <v>447832</v>
      </c>
      <c r="M132" s="3">
        <v>272893.15000000002</v>
      </c>
      <c r="N132" s="3">
        <v>174938.85</v>
      </c>
      <c r="O132" s="4">
        <v>39.06</v>
      </c>
      <c r="P132" s="2" t="s">
        <v>50</v>
      </c>
    </row>
    <row r="133" spans="1:16" x14ac:dyDescent="0.3">
      <c r="A133" s="5">
        <v>1080</v>
      </c>
      <c r="B133" s="5" t="s">
        <v>62</v>
      </c>
      <c r="C133" s="5" t="s">
        <v>63</v>
      </c>
      <c r="D133" s="5" t="s">
        <v>25</v>
      </c>
      <c r="E133" s="5" t="s">
        <v>44</v>
      </c>
      <c r="F133" s="5" t="s">
        <v>27</v>
      </c>
      <c r="G133" s="5" t="s">
        <v>84</v>
      </c>
      <c r="H133" s="5">
        <v>86</v>
      </c>
      <c r="I133" s="6">
        <v>15034</v>
      </c>
      <c r="J133" s="6">
        <v>1292924</v>
      </c>
      <c r="K133" s="5">
        <v>0</v>
      </c>
      <c r="L133" s="6">
        <v>1292924</v>
      </c>
      <c r="M133" s="6">
        <v>838884.79</v>
      </c>
      <c r="N133" s="6">
        <v>454039.21</v>
      </c>
      <c r="O133" s="7">
        <v>35.119999999999997</v>
      </c>
      <c r="P133" s="5" t="s">
        <v>50</v>
      </c>
    </row>
    <row r="134" spans="1:16" x14ac:dyDescent="0.3">
      <c r="A134" s="2">
        <v>1630</v>
      </c>
      <c r="B134" s="2" t="s">
        <v>16</v>
      </c>
      <c r="C134" s="2" t="s">
        <v>17</v>
      </c>
      <c r="D134" s="2" t="s">
        <v>18</v>
      </c>
      <c r="E134" s="2" t="s">
        <v>19</v>
      </c>
      <c r="F134" s="2" t="s">
        <v>27</v>
      </c>
      <c r="G134" s="2" t="s">
        <v>84</v>
      </c>
      <c r="H134" s="2">
        <v>121</v>
      </c>
      <c r="I134" s="3">
        <v>14322</v>
      </c>
      <c r="J134" s="3">
        <v>1732962</v>
      </c>
      <c r="K134" s="2">
        <v>20</v>
      </c>
      <c r="L134" s="3">
        <v>1386369.6</v>
      </c>
      <c r="M134" s="3">
        <v>867547.06</v>
      </c>
      <c r="N134" s="3">
        <v>518822.54</v>
      </c>
      <c r="O134" s="4">
        <v>37.42</v>
      </c>
      <c r="P134" s="2" t="s">
        <v>29</v>
      </c>
    </row>
    <row r="135" spans="1:16" x14ac:dyDescent="0.3">
      <c r="A135" s="5">
        <v>2096</v>
      </c>
      <c r="B135" s="5" t="s">
        <v>76</v>
      </c>
      <c r="C135" s="5" t="s">
        <v>77</v>
      </c>
      <c r="D135" s="5" t="s">
        <v>36</v>
      </c>
      <c r="E135" s="5" t="s">
        <v>44</v>
      </c>
      <c r="F135" s="5" t="s">
        <v>48</v>
      </c>
      <c r="G135" s="5" t="s">
        <v>69</v>
      </c>
      <c r="H135" s="5">
        <v>203</v>
      </c>
      <c r="I135" s="6">
        <v>1084</v>
      </c>
      <c r="J135" s="6">
        <v>220052</v>
      </c>
      <c r="K135" s="5">
        <v>10</v>
      </c>
      <c r="L135" s="6">
        <v>198046.8</v>
      </c>
      <c r="M135" s="6">
        <v>110590.95</v>
      </c>
      <c r="N135" s="6">
        <v>87455.85</v>
      </c>
      <c r="O135" s="7">
        <v>44.16</v>
      </c>
      <c r="P135" s="5" t="s">
        <v>43</v>
      </c>
    </row>
    <row r="136" spans="1:16" x14ac:dyDescent="0.3">
      <c r="A136" s="2">
        <v>1921</v>
      </c>
      <c r="B136" s="2" t="s">
        <v>34</v>
      </c>
      <c r="C136" s="2" t="s">
        <v>35</v>
      </c>
      <c r="D136" s="2" t="s">
        <v>36</v>
      </c>
      <c r="E136" s="2" t="s">
        <v>26</v>
      </c>
      <c r="F136" s="2" t="s">
        <v>48</v>
      </c>
      <c r="G136" s="2" t="s">
        <v>69</v>
      </c>
      <c r="H136" s="2">
        <v>82</v>
      </c>
      <c r="I136" s="3">
        <v>1247</v>
      </c>
      <c r="J136" s="3">
        <v>102254</v>
      </c>
      <c r="K136" s="2">
        <v>0</v>
      </c>
      <c r="L136" s="3">
        <v>102254</v>
      </c>
      <c r="M136" s="3">
        <v>57014.58</v>
      </c>
      <c r="N136" s="3">
        <v>45239.42</v>
      </c>
      <c r="O136" s="4">
        <v>44.24</v>
      </c>
      <c r="P136" s="2" t="s">
        <v>22</v>
      </c>
    </row>
    <row r="137" spans="1:16" x14ac:dyDescent="0.3">
      <c r="A137" s="5">
        <v>2170</v>
      </c>
      <c r="B137" s="5" t="s">
        <v>46</v>
      </c>
      <c r="C137" s="5" t="s">
        <v>47</v>
      </c>
      <c r="D137" s="5" t="s">
        <v>36</v>
      </c>
      <c r="E137" s="5" t="s">
        <v>42</v>
      </c>
      <c r="F137" s="5" t="s">
        <v>20</v>
      </c>
      <c r="G137" s="5" t="s">
        <v>60</v>
      </c>
      <c r="H137" s="5">
        <v>71</v>
      </c>
      <c r="I137" s="6">
        <v>87</v>
      </c>
      <c r="J137" s="6">
        <v>6177</v>
      </c>
      <c r="K137" s="5">
        <v>0</v>
      </c>
      <c r="L137" s="6">
        <v>6177</v>
      </c>
      <c r="M137" s="6">
        <v>4239.07</v>
      </c>
      <c r="N137" s="6">
        <v>1937.93</v>
      </c>
      <c r="O137" s="7">
        <v>31.37</v>
      </c>
      <c r="P137" s="5" t="s">
        <v>41</v>
      </c>
    </row>
    <row r="138" spans="1:16" x14ac:dyDescent="0.3">
      <c r="A138" s="2">
        <v>1139</v>
      </c>
      <c r="B138" s="2" t="s">
        <v>23</v>
      </c>
      <c r="C138" s="2" t="s">
        <v>24</v>
      </c>
      <c r="D138" s="2" t="s">
        <v>25</v>
      </c>
      <c r="E138" s="2" t="s">
        <v>19</v>
      </c>
      <c r="F138" s="2" t="s">
        <v>32</v>
      </c>
      <c r="G138" s="2" t="s">
        <v>33</v>
      </c>
      <c r="H138" s="2">
        <v>60</v>
      </c>
      <c r="I138" s="3">
        <v>10089</v>
      </c>
      <c r="J138" s="3">
        <v>605340</v>
      </c>
      <c r="K138" s="2">
        <v>0</v>
      </c>
      <c r="L138" s="3">
        <v>605340</v>
      </c>
      <c r="M138" s="3">
        <v>415421.67</v>
      </c>
      <c r="N138" s="3">
        <v>189918.33</v>
      </c>
      <c r="O138" s="4">
        <v>31.37</v>
      </c>
      <c r="P138" s="2" t="s">
        <v>61</v>
      </c>
    </row>
    <row r="139" spans="1:16" x14ac:dyDescent="0.3">
      <c r="A139" s="5">
        <v>2137</v>
      </c>
      <c r="B139" s="5" t="s">
        <v>46</v>
      </c>
      <c r="C139" s="5" t="s">
        <v>47</v>
      </c>
      <c r="D139" s="5" t="s">
        <v>36</v>
      </c>
      <c r="E139" s="5" t="s">
        <v>19</v>
      </c>
      <c r="F139" s="5" t="s">
        <v>32</v>
      </c>
      <c r="G139" s="5" t="s">
        <v>75</v>
      </c>
      <c r="H139" s="5">
        <v>171</v>
      </c>
      <c r="I139" s="6">
        <v>12898</v>
      </c>
      <c r="J139" s="6">
        <v>2205558</v>
      </c>
      <c r="K139" s="5">
        <v>15</v>
      </c>
      <c r="L139" s="6">
        <v>1874724.3</v>
      </c>
      <c r="M139" s="6">
        <v>1083106.71</v>
      </c>
      <c r="N139" s="6">
        <v>791617.59</v>
      </c>
      <c r="O139" s="7">
        <v>42.23</v>
      </c>
      <c r="P139" s="5" t="s">
        <v>41</v>
      </c>
    </row>
    <row r="140" spans="1:16" x14ac:dyDescent="0.3">
      <c r="A140" s="2">
        <v>1953</v>
      </c>
      <c r="B140" s="2" t="s">
        <v>34</v>
      </c>
      <c r="C140" s="2" t="s">
        <v>35</v>
      </c>
      <c r="D140" s="2" t="s">
        <v>36</v>
      </c>
      <c r="E140" s="2" t="s">
        <v>42</v>
      </c>
      <c r="F140" s="2" t="s">
        <v>27</v>
      </c>
      <c r="G140" s="2" t="s">
        <v>83</v>
      </c>
      <c r="H140" s="2">
        <v>169</v>
      </c>
      <c r="I140" s="3">
        <v>4914</v>
      </c>
      <c r="J140" s="3">
        <v>830466</v>
      </c>
      <c r="K140" s="2">
        <v>15</v>
      </c>
      <c r="L140" s="3">
        <v>705896.1</v>
      </c>
      <c r="M140" s="3">
        <v>420362.69</v>
      </c>
      <c r="N140" s="3">
        <v>285533.40999999997</v>
      </c>
      <c r="O140" s="4">
        <v>40.450000000000003</v>
      </c>
      <c r="P140" s="2" t="s">
        <v>50</v>
      </c>
    </row>
    <row r="141" spans="1:16" x14ac:dyDescent="0.3">
      <c r="A141" s="5">
        <v>1100</v>
      </c>
      <c r="B141" s="5" t="s">
        <v>62</v>
      </c>
      <c r="C141" s="5" t="s">
        <v>63</v>
      </c>
      <c r="D141" s="5" t="s">
        <v>25</v>
      </c>
      <c r="E141" s="5" t="s">
        <v>44</v>
      </c>
      <c r="F141" s="5" t="s">
        <v>48</v>
      </c>
      <c r="G141" s="5" t="s">
        <v>72</v>
      </c>
      <c r="H141" s="5">
        <v>24</v>
      </c>
      <c r="I141" s="6">
        <v>3450</v>
      </c>
      <c r="J141" s="6">
        <v>82800</v>
      </c>
      <c r="K141" s="5">
        <v>20</v>
      </c>
      <c r="L141" s="6">
        <v>66240</v>
      </c>
      <c r="M141" s="6">
        <v>38237.660000000003</v>
      </c>
      <c r="N141" s="6">
        <v>28002.34</v>
      </c>
      <c r="O141" s="7">
        <v>42.27</v>
      </c>
      <c r="P141" s="5" t="s">
        <v>50</v>
      </c>
    </row>
    <row r="142" spans="1:16" x14ac:dyDescent="0.3">
      <c r="A142" s="2">
        <v>2200</v>
      </c>
      <c r="B142" s="2" t="s">
        <v>46</v>
      </c>
      <c r="C142" s="2" t="s">
        <v>47</v>
      </c>
      <c r="D142" s="2" t="s">
        <v>36</v>
      </c>
      <c r="E142" s="2" t="s">
        <v>44</v>
      </c>
      <c r="F142" s="2" t="s">
        <v>48</v>
      </c>
      <c r="G142" s="2" t="s">
        <v>72</v>
      </c>
      <c r="H142" s="2">
        <v>177</v>
      </c>
      <c r="I142" s="3">
        <v>3180</v>
      </c>
      <c r="J142" s="3">
        <v>562860</v>
      </c>
      <c r="K142" s="2">
        <v>0</v>
      </c>
      <c r="L142" s="3">
        <v>562860</v>
      </c>
      <c r="M142" s="3">
        <v>312341.65999999997</v>
      </c>
      <c r="N142" s="3">
        <v>250518.34</v>
      </c>
      <c r="O142" s="4">
        <v>44.51</v>
      </c>
      <c r="P142" s="2" t="s">
        <v>43</v>
      </c>
    </row>
    <row r="143" spans="1:16" x14ac:dyDescent="0.3">
      <c r="A143" s="5">
        <v>1426</v>
      </c>
      <c r="B143" s="5" t="s">
        <v>54</v>
      </c>
      <c r="C143" s="5" t="s">
        <v>55</v>
      </c>
      <c r="D143" s="5" t="s">
        <v>56</v>
      </c>
      <c r="E143" s="5" t="s">
        <v>19</v>
      </c>
      <c r="F143" s="5" t="s">
        <v>27</v>
      </c>
      <c r="G143" s="5" t="s">
        <v>85</v>
      </c>
      <c r="H143" s="5">
        <v>104</v>
      </c>
      <c r="I143" s="6">
        <v>12860</v>
      </c>
      <c r="J143" s="6">
        <v>1337440</v>
      </c>
      <c r="K143" s="5">
        <v>0</v>
      </c>
      <c r="L143" s="6">
        <v>1337440</v>
      </c>
      <c r="M143" s="6">
        <v>754349.7</v>
      </c>
      <c r="N143" s="6">
        <v>583090.30000000005</v>
      </c>
      <c r="O143" s="7">
        <v>43.6</v>
      </c>
      <c r="P143" s="5" t="s">
        <v>22</v>
      </c>
    </row>
    <row r="144" spans="1:16" x14ac:dyDescent="0.3">
      <c r="A144" s="2">
        <v>1330</v>
      </c>
      <c r="B144" s="2" t="s">
        <v>57</v>
      </c>
      <c r="C144" s="2" t="s">
        <v>58</v>
      </c>
      <c r="D144" s="2" t="s">
        <v>56</v>
      </c>
      <c r="E144" s="2" t="s">
        <v>19</v>
      </c>
      <c r="F144" s="2" t="s">
        <v>27</v>
      </c>
      <c r="G144" s="2" t="s">
        <v>84</v>
      </c>
      <c r="H144" s="2">
        <v>42</v>
      </c>
      <c r="I144" s="3">
        <v>13978</v>
      </c>
      <c r="J144" s="3">
        <v>587076</v>
      </c>
      <c r="K144" s="2">
        <v>20</v>
      </c>
      <c r="L144" s="3">
        <v>469660.8</v>
      </c>
      <c r="M144" s="3">
        <v>293450.62</v>
      </c>
      <c r="N144" s="3">
        <v>176210.18</v>
      </c>
      <c r="O144" s="4">
        <v>37.520000000000003</v>
      </c>
      <c r="P144" s="2" t="s">
        <v>50</v>
      </c>
    </row>
    <row r="145" spans="1:16" x14ac:dyDescent="0.3">
      <c r="A145" s="5">
        <v>1186</v>
      </c>
      <c r="B145" s="5" t="s">
        <v>23</v>
      </c>
      <c r="C145" s="5" t="s">
        <v>24</v>
      </c>
      <c r="D145" s="5" t="s">
        <v>25</v>
      </c>
      <c r="E145" s="5" t="s">
        <v>44</v>
      </c>
      <c r="F145" s="5" t="s">
        <v>32</v>
      </c>
      <c r="G145" s="5" t="s">
        <v>40</v>
      </c>
      <c r="H145" s="5">
        <v>123</v>
      </c>
      <c r="I145" s="6">
        <v>17263</v>
      </c>
      <c r="J145" s="6">
        <v>2123349</v>
      </c>
      <c r="K145" s="5">
        <v>10</v>
      </c>
      <c r="L145" s="6">
        <v>1911014.1</v>
      </c>
      <c r="M145" s="6">
        <v>1281592.71</v>
      </c>
      <c r="N145" s="6">
        <v>629421.39</v>
      </c>
      <c r="O145" s="7">
        <v>32.94</v>
      </c>
      <c r="P145" s="5" t="s">
        <v>39</v>
      </c>
    </row>
    <row r="146" spans="1:16" x14ac:dyDescent="0.3">
      <c r="A146" s="2">
        <v>1176</v>
      </c>
      <c r="B146" s="2" t="s">
        <v>23</v>
      </c>
      <c r="C146" s="2" t="s">
        <v>24</v>
      </c>
      <c r="D146" s="2" t="s">
        <v>25</v>
      </c>
      <c r="E146" s="2" t="s">
        <v>44</v>
      </c>
      <c r="F146" s="2" t="s">
        <v>27</v>
      </c>
      <c r="G146" s="2" t="s">
        <v>85</v>
      </c>
      <c r="H146" s="2">
        <v>25</v>
      </c>
      <c r="I146" s="3">
        <v>13069</v>
      </c>
      <c r="J146" s="3">
        <v>326725</v>
      </c>
      <c r="K146" s="2">
        <v>5</v>
      </c>
      <c r="L146" s="3">
        <v>310388.75</v>
      </c>
      <c r="M146" s="3">
        <v>200461.72</v>
      </c>
      <c r="N146" s="3">
        <v>109927.03</v>
      </c>
      <c r="O146" s="4">
        <v>35.42</v>
      </c>
      <c r="P146" s="2" t="s">
        <v>22</v>
      </c>
    </row>
    <row r="147" spans="1:16" x14ac:dyDescent="0.3">
      <c r="A147" s="5">
        <v>1759</v>
      </c>
      <c r="B147" s="5" t="s">
        <v>30</v>
      </c>
      <c r="C147" s="5" t="s">
        <v>31</v>
      </c>
      <c r="D147" s="5" t="s">
        <v>18</v>
      </c>
      <c r="E147" s="5" t="s">
        <v>42</v>
      </c>
      <c r="F147" s="5" t="s">
        <v>37</v>
      </c>
      <c r="G147" s="5" t="s">
        <v>82</v>
      </c>
      <c r="H147" s="5">
        <v>64</v>
      </c>
      <c r="I147" s="6">
        <v>1458</v>
      </c>
      <c r="J147" s="6">
        <v>93312</v>
      </c>
      <c r="K147" s="5">
        <v>10</v>
      </c>
      <c r="L147" s="6">
        <v>83980.800000000003</v>
      </c>
      <c r="M147" s="6">
        <v>57248.27</v>
      </c>
      <c r="N147" s="6">
        <v>26732.53</v>
      </c>
      <c r="O147" s="7">
        <v>31.83</v>
      </c>
      <c r="P147" s="5" t="s">
        <v>39</v>
      </c>
    </row>
    <row r="148" spans="1:16" x14ac:dyDescent="0.3">
      <c r="A148" s="2">
        <v>1607</v>
      </c>
      <c r="B148" s="2" t="s">
        <v>16</v>
      </c>
      <c r="C148" s="2" t="s">
        <v>17</v>
      </c>
      <c r="D148" s="2" t="s">
        <v>18</v>
      </c>
      <c r="E148" s="2" t="s">
        <v>26</v>
      </c>
      <c r="F148" s="2" t="s">
        <v>37</v>
      </c>
      <c r="G148" s="2" t="s">
        <v>79</v>
      </c>
      <c r="H148" s="2">
        <v>86</v>
      </c>
      <c r="I148" s="3">
        <v>1187</v>
      </c>
      <c r="J148" s="3">
        <v>102082</v>
      </c>
      <c r="K148" s="2">
        <v>5</v>
      </c>
      <c r="L148" s="3">
        <v>96977.9</v>
      </c>
      <c r="M148" s="3">
        <v>59734.61</v>
      </c>
      <c r="N148" s="3">
        <v>37243.29</v>
      </c>
      <c r="O148" s="4">
        <v>38.4</v>
      </c>
      <c r="P148" s="2" t="s">
        <v>50</v>
      </c>
    </row>
    <row r="149" spans="1:16" x14ac:dyDescent="0.3">
      <c r="A149" s="5">
        <v>1163</v>
      </c>
      <c r="B149" s="5" t="s">
        <v>23</v>
      </c>
      <c r="C149" s="5" t="s">
        <v>24</v>
      </c>
      <c r="D149" s="5" t="s">
        <v>25</v>
      </c>
      <c r="E149" s="5" t="s">
        <v>42</v>
      </c>
      <c r="F149" s="5" t="s">
        <v>32</v>
      </c>
      <c r="G149" s="5" t="s">
        <v>81</v>
      </c>
      <c r="H149" s="5">
        <v>99</v>
      </c>
      <c r="I149" s="6">
        <v>14872</v>
      </c>
      <c r="J149" s="6">
        <v>1472328</v>
      </c>
      <c r="K149" s="5">
        <v>15</v>
      </c>
      <c r="L149" s="6">
        <v>1251478.8</v>
      </c>
      <c r="M149" s="6">
        <v>873860.22</v>
      </c>
      <c r="N149" s="6">
        <v>377618.58</v>
      </c>
      <c r="O149" s="7">
        <v>30.17</v>
      </c>
      <c r="P149" s="5" t="s">
        <v>61</v>
      </c>
    </row>
    <row r="150" spans="1:16" x14ac:dyDescent="0.3">
      <c r="A150" s="2">
        <v>1192</v>
      </c>
      <c r="B150" s="2" t="s">
        <v>23</v>
      </c>
      <c r="C150" s="2" t="s">
        <v>24</v>
      </c>
      <c r="D150" s="2" t="s">
        <v>25</v>
      </c>
      <c r="E150" s="2" t="s">
        <v>44</v>
      </c>
      <c r="F150" s="2" t="s">
        <v>20</v>
      </c>
      <c r="G150" s="2" t="s">
        <v>80</v>
      </c>
      <c r="H150" s="2">
        <v>88</v>
      </c>
      <c r="I150" s="3">
        <v>82</v>
      </c>
      <c r="J150" s="3">
        <v>7216</v>
      </c>
      <c r="K150" s="2">
        <v>20</v>
      </c>
      <c r="L150" s="3">
        <v>5772.8</v>
      </c>
      <c r="M150" s="3">
        <v>3962.5</v>
      </c>
      <c r="N150" s="3">
        <v>1810.3</v>
      </c>
      <c r="O150" s="4">
        <v>31.36</v>
      </c>
      <c r="P150" s="2" t="s">
        <v>50</v>
      </c>
    </row>
    <row r="151" spans="1:16" x14ac:dyDescent="0.3">
      <c r="A151" s="5">
        <v>1813</v>
      </c>
      <c r="B151" s="5" t="s">
        <v>70</v>
      </c>
      <c r="C151" s="5" t="s">
        <v>71</v>
      </c>
      <c r="D151" s="5" t="s">
        <v>18</v>
      </c>
      <c r="E151" s="5" t="s">
        <v>26</v>
      </c>
      <c r="F151" s="5" t="s">
        <v>32</v>
      </c>
      <c r="G151" s="5" t="s">
        <v>81</v>
      </c>
      <c r="H151" s="5">
        <v>62</v>
      </c>
      <c r="I151" s="6">
        <v>13740</v>
      </c>
      <c r="J151" s="6">
        <v>851880</v>
      </c>
      <c r="K151" s="5">
        <v>0</v>
      </c>
      <c r="L151" s="6">
        <v>851880</v>
      </c>
      <c r="M151" s="6">
        <v>539916.94999999995</v>
      </c>
      <c r="N151" s="6">
        <v>311963.05</v>
      </c>
      <c r="O151" s="7">
        <v>36.619999999999997</v>
      </c>
      <c r="P151" s="5" t="s">
        <v>50</v>
      </c>
    </row>
    <row r="152" spans="1:16" x14ac:dyDescent="0.3">
      <c r="A152" s="2">
        <v>1506</v>
      </c>
      <c r="B152" s="2" t="s">
        <v>73</v>
      </c>
      <c r="C152" s="2" t="s">
        <v>74</v>
      </c>
      <c r="D152" s="2" t="s">
        <v>56</v>
      </c>
      <c r="E152" s="2" t="s">
        <v>26</v>
      </c>
      <c r="F152" s="2" t="s">
        <v>37</v>
      </c>
      <c r="G152" s="2" t="s">
        <v>59</v>
      </c>
      <c r="H152" s="2">
        <v>63</v>
      </c>
      <c r="I152" s="3">
        <v>487</v>
      </c>
      <c r="J152" s="3">
        <v>30681</v>
      </c>
      <c r="K152" s="2">
        <v>0</v>
      </c>
      <c r="L152" s="3">
        <v>30681</v>
      </c>
      <c r="M152" s="3">
        <v>17112.88</v>
      </c>
      <c r="N152" s="3">
        <v>13568.12</v>
      </c>
      <c r="O152" s="4">
        <v>44.22</v>
      </c>
      <c r="P152" s="2" t="s">
        <v>50</v>
      </c>
    </row>
    <row r="153" spans="1:16" x14ac:dyDescent="0.3">
      <c r="A153" s="5">
        <v>1534</v>
      </c>
      <c r="B153" s="5" t="s">
        <v>73</v>
      </c>
      <c r="C153" s="5" t="s">
        <v>74</v>
      </c>
      <c r="D153" s="5" t="s">
        <v>56</v>
      </c>
      <c r="E153" s="5" t="s">
        <v>19</v>
      </c>
      <c r="F153" s="5" t="s">
        <v>37</v>
      </c>
      <c r="G153" s="5" t="s">
        <v>82</v>
      </c>
      <c r="H153" s="5">
        <v>66</v>
      </c>
      <c r="I153" s="6">
        <v>1479</v>
      </c>
      <c r="J153" s="6">
        <v>97614</v>
      </c>
      <c r="K153" s="5">
        <v>0</v>
      </c>
      <c r="L153" s="6">
        <v>97614</v>
      </c>
      <c r="M153" s="6">
        <v>57537.84</v>
      </c>
      <c r="N153" s="6">
        <v>40076.160000000003</v>
      </c>
      <c r="O153" s="7">
        <v>41.06</v>
      </c>
      <c r="P153" s="5" t="s">
        <v>29</v>
      </c>
    </row>
    <row r="154" spans="1:16" x14ac:dyDescent="0.3">
      <c r="A154" s="2">
        <v>1459</v>
      </c>
      <c r="B154" s="2" t="s">
        <v>54</v>
      </c>
      <c r="C154" s="2" t="s">
        <v>55</v>
      </c>
      <c r="D154" s="2" t="s">
        <v>56</v>
      </c>
      <c r="E154" s="2" t="s">
        <v>42</v>
      </c>
      <c r="F154" s="2" t="s">
        <v>37</v>
      </c>
      <c r="G154" s="2" t="s">
        <v>82</v>
      </c>
      <c r="H154" s="2">
        <v>99</v>
      </c>
      <c r="I154" s="3">
        <v>1587</v>
      </c>
      <c r="J154" s="3">
        <v>157113</v>
      </c>
      <c r="K154" s="2">
        <v>10</v>
      </c>
      <c r="L154" s="3">
        <v>141401.70000000001</v>
      </c>
      <c r="M154" s="3">
        <v>92652.78</v>
      </c>
      <c r="N154" s="3">
        <v>48748.92</v>
      </c>
      <c r="O154" s="4">
        <v>34.479999999999997</v>
      </c>
      <c r="P154" s="2" t="s">
        <v>29</v>
      </c>
    </row>
    <row r="155" spans="1:16" x14ac:dyDescent="0.3">
      <c r="A155" s="5">
        <v>1801</v>
      </c>
      <c r="B155" s="5" t="s">
        <v>70</v>
      </c>
      <c r="C155" s="5" t="s">
        <v>71</v>
      </c>
      <c r="D155" s="5" t="s">
        <v>18</v>
      </c>
      <c r="E155" s="5" t="s">
        <v>26</v>
      </c>
      <c r="F155" s="5" t="s">
        <v>27</v>
      </c>
      <c r="G155" s="5" t="s">
        <v>85</v>
      </c>
      <c r="H155" s="5">
        <v>128</v>
      </c>
      <c r="I155" s="6">
        <v>11188</v>
      </c>
      <c r="J155" s="6">
        <v>1432064</v>
      </c>
      <c r="K155" s="5">
        <v>5</v>
      </c>
      <c r="L155" s="6">
        <v>1360460.8</v>
      </c>
      <c r="M155" s="6">
        <v>851990.66</v>
      </c>
      <c r="N155" s="6">
        <v>508470.14</v>
      </c>
      <c r="O155" s="7">
        <v>37.369999999999997</v>
      </c>
      <c r="P155" s="5" t="s">
        <v>41</v>
      </c>
    </row>
    <row r="156" spans="1:16" x14ac:dyDescent="0.3">
      <c r="A156" s="2">
        <v>2186</v>
      </c>
      <c r="B156" s="2" t="s">
        <v>46</v>
      </c>
      <c r="C156" s="2" t="s">
        <v>47</v>
      </c>
      <c r="D156" s="2" t="s">
        <v>36</v>
      </c>
      <c r="E156" s="2" t="s">
        <v>44</v>
      </c>
      <c r="F156" s="2" t="s">
        <v>32</v>
      </c>
      <c r="G156" s="2" t="s">
        <v>40</v>
      </c>
      <c r="H156" s="2">
        <v>143</v>
      </c>
      <c r="I156" s="3">
        <v>16726</v>
      </c>
      <c r="J156" s="3">
        <v>2391818</v>
      </c>
      <c r="K156" s="2">
        <v>20</v>
      </c>
      <c r="L156" s="3">
        <v>1913454.4</v>
      </c>
      <c r="M156" s="3">
        <v>1304492.93</v>
      </c>
      <c r="N156" s="3">
        <v>608961.47</v>
      </c>
      <c r="O156" s="4">
        <v>31.83</v>
      </c>
      <c r="P156" s="2" t="s">
        <v>61</v>
      </c>
    </row>
    <row r="157" spans="1:16" x14ac:dyDescent="0.3">
      <c r="A157" s="5">
        <v>1353</v>
      </c>
      <c r="B157" s="5" t="s">
        <v>57</v>
      </c>
      <c r="C157" s="5" t="s">
        <v>58</v>
      </c>
      <c r="D157" s="5" t="s">
        <v>56</v>
      </c>
      <c r="E157" s="5" t="s">
        <v>42</v>
      </c>
      <c r="F157" s="5" t="s">
        <v>27</v>
      </c>
      <c r="G157" s="5" t="s">
        <v>83</v>
      </c>
      <c r="H157" s="5">
        <v>115</v>
      </c>
      <c r="I157" s="6">
        <v>4989</v>
      </c>
      <c r="J157" s="6">
        <v>573735</v>
      </c>
      <c r="K157" s="5">
        <v>20</v>
      </c>
      <c r="L157" s="6">
        <v>458988</v>
      </c>
      <c r="M157" s="6">
        <v>276457.87</v>
      </c>
      <c r="N157" s="6">
        <v>182530.13</v>
      </c>
      <c r="O157" s="7">
        <v>39.770000000000003</v>
      </c>
      <c r="P157" s="5" t="s">
        <v>50</v>
      </c>
    </row>
    <row r="158" spans="1:16" x14ac:dyDescent="0.3">
      <c r="A158" s="2">
        <v>1072</v>
      </c>
      <c r="B158" s="2" t="s">
        <v>62</v>
      </c>
      <c r="C158" s="2" t="s">
        <v>63</v>
      </c>
      <c r="D158" s="2" t="s">
        <v>25</v>
      </c>
      <c r="E158" s="2" t="s">
        <v>42</v>
      </c>
      <c r="F158" s="2" t="s">
        <v>48</v>
      </c>
      <c r="G158" s="2" t="s">
        <v>78</v>
      </c>
      <c r="H158" s="2">
        <v>54</v>
      </c>
      <c r="I158" s="3">
        <v>634</v>
      </c>
      <c r="J158" s="3">
        <v>34236</v>
      </c>
      <c r="K158" s="2">
        <v>15</v>
      </c>
      <c r="L158" s="3">
        <v>29100.6</v>
      </c>
      <c r="M158" s="3">
        <v>18651.490000000002</v>
      </c>
      <c r="N158" s="3">
        <v>10449.11</v>
      </c>
      <c r="O158" s="4">
        <v>35.909999999999997</v>
      </c>
      <c r="P158" s="2" t="s">
        <v>29</v>
      </c>
    </row>
    <row r="159" spans="1:16" x14ac:dyDescent="0.3">
      <c r="A159" s="5">
        <v>1190</v>
      </c>
      <c r="B159" s="5" t="s">
        <v>23</v>
      </c>
      <c r="C159" s="5" t="s">
        <v>24</v>
      </c>
      <c r="D159" s="5" t="s">
        <v>25</v>
      </c>
      <c r="E159" s="5" t="s">
        <v>44</v>
      </c>
      <c r="F159" s="5" t="s">
        <v>32</v>
      </c>
      <c r="G159" s="5" t="s">
        <v>65</v>
      </c>
      <c r="H159" s="5">
        <v>81</v>
      </c>
      <c r="I159" s="6">
        <v>5322</v>
      </c>
      <c r="J159" s="6">
        <v>431082</v>
      </c>
      <c r="K159" s="5">
        <v>10</v>
      </c>
      <c r="L159" s="6">
        <v>387973.8</v>
      </c>
      <c r="M159" s="6">
        <v>219690.91</v>
      </c>
      <c r="N159" s="6">
        <v>168282.89</v>
      </c>
      <c r="O159" s="7">
        <v>43.37</v>
      </c>
      <c r="P159" s="5" t="s">
        <v>45</v>
      </c>
    </row>
    <row r="160" spans="1:16" x14ac:dyDescent="0.3">
      <c r="A160" s="2">
        <v>1420</v>
      </c>
      <c r="B160" s="2" t="s">
        <v>54</v>
      </c>
      <c r="C160" s="2" t="s">
        <v>55</v>
      </c>
      <c r="D160" s="2" t="s">
        <v>56</v>
      </c>
      <c r="E160" s="2" t="s">
        <v>26</v>
      </c>
      <c r="F160" s="2" t="s">
        <v>20</v>
      </c>
      <c r="G160" s="2" t="s">
        <v>60</v>
      </c>
      <c r="H160" s="2">
        <v>24</v>
      </c>
      <c r="I160" s="3">
        <v>90</v>
      </c>
      <c r="J160" s="3">
        <v>2160</v>
      </c>
      <c r="K160" s="2">
        <v>10</v>
      </c>
      <c r="L160" s="3">
        <v>1944</v>
      </c>
      <c r="M160" s="3">
        <v>1086.83</v>
      </c>
      <c r="N160" s="3">
        <v>857.17</v>
      </c>
      <c r="O160" s="4">
        <v>44.09</v>
      </c>
      <c r="P160" s="2" t="s">
        <v>39</v>
      </c>
    </row>
    <row r="161" spans="1:16" x14ac:dyDescent="0.3">
      <c r="A161" s="5">
        <v>1818</v>
      </c>
      <c r="B161" s="5" t="s">
        <v>70</v>
      </c>
      <c r="C161" s="5" t="s">
        <v>71</v>
      </c>
      <c r="D161" s="5" t="s">
        <v>18</v>
      </c>
      <c r="E161" s="5" t="s">
        <v>26</v>
      </c>
      <c r="F161" s="5" t="s">
        <v>20</v>
      </c>
      <c r="G161" s="5" t="s">
        <v>21</v>
      </c>
      <c r="H161" s="5">
        <v>124</v>
      </c>
      <c r="I161" s="6">
        <v>114</v>
      </c>
      <c r="J161" s="6">
        <v>14136</v>
      </c>
      <c r="K161" s="5">
        <v>10</v>
      </c>
      <c r="L161" s="6">
        <v>12722.4</v>
      </c>
      <c r="M161" s="6">
        <v>7784.38</v>
      </c>
      <c r="N161" s="6">
        <v>4938.0200000000004</v>
      </c>
      <c r="O161" s="7">
        <v>38.81</v>
      </c>
      <c r="P161" s="5" t="s">
        <v>41</v>
      </c>
    </row>
    <row r="162" spans="1:16" x14ac:dyDescent="0.3">
      <c r="A162" s="2">
        <v>1594</v>
      </c>
      <c r="B162" s="2" t="s">
        <v>73</v>
      </c>
      <c r="C162" s="2" t="s">
        <v>74</v>
      </c>
      <c r="D162" s="2" t="s">
        <v>56</v>
      </c>
      <c r="E162" s="2" t="s">
        <v>44</v>
      </c>
      <c r="F162" s="2" t="s">
        <v>20</v>
      </c>
      <c r="G162" s="2" t="s">
        <v>68</v>
      </c>
      <c r="H162" s="2">
        <v>126</v>
      </c>
      <c r="I162" s="3">
        <v>164</v>
      </c>
      <c r="J162" s="3">
        <v>20664</v>
      </c>
      <c r="K162" s="2">
        <v>15</v>
      </c>
      <c r="L162" s="3">
        <v>17564.400000000001</v>
      </c>
      <c r="M162" s="3">
        <v>10959.52</v>
      </c>
      <c r="N162" s="3">
        <v>6604.88</v>
      </c>
      <c r="O162" s="4">
        <v>37.6</v>
      </c>
      <c r="P162" s="2" t="s">
        <v>22</v>
      </c>
    </row>
    <row r="163" spans="1:16" x14ac:dyDescent="0.3">
      <c r="A163" s="5">
        <v>1142</v>
      </c>
      <c r="B163" s="5" t="s">
        <v>23</v>
      </c>
      <c r="C163" s="5" t="s">
        <v>24</v>
      </c>
      <c r="D163" s="5" t="s">
        <v>25</v>
      </c>
      <c r="E163" s="5" t="s">
        <v>19</v>
      </c>
      <c r="F163" s="5" t="s">
        <v>20</v>
      </c>
      <c r="G163" s="5" t="s">
        <v>80</v>
      </c>
      <c r="H163" s="5">
        <v>68</v>
      </c>
      <c r="I163" s="6">
        <v>80</v>
      </c>
      <c r="J163" s="6">
        <v>5440</v>
      </c>
      <c r="K163" s="5">
        <v>0</v>
      </c>
      <c r="L163" s="6">
        <v>5440</v>
      </c>
      <c r="M163" s="6">
        <v>3480</v>
      </c>
      <c r="N163" s="6">
        <v>1960</v>
      </c>
      <c r="O163" s="7">
        <v>36.03</v>
      </c>
      <c r="P163" s="5" t="s">
        <v>22</v>
      </c>
    </row>
    <row r="164" spans="1:16" x14ac:dyDescent="0.3">
      <c r="A164" s="2">
        <v>1610</v>
      </c>
      <c r="B164" s="2" t="s">
        <v>16</v>
      </c>
      <c r="C164" s="2" t="s">
        <v>17</v>
      </c>
      <c r="D164" s="2" t="s">
        <v>18</v>
      </c>
      <c r="E164" s="2" t="s">
        <v>26</v>
      </c>
      <c r="F164" s="2" t="s">
        <v>37</v>
      </c>
      <c r="G164" s="2" t="s">
        <v>67</v>
      </c>
      <c r="H164" s="2">
        <v>116</v>
      </c>
      <c r="I164" s="3">
        <v>1923</v>
      </c>
      <c r="J164" s="3">
        <v>223068</v>
      </c>
      <c r="K164" s="2">
        <v>15</v>
      </c>
      <c r="L164" s="3">
        <v>189607.8</v>
      </c>
      <c r="M164" s="3">
        <v>131747.87</v>
      </c>
      <c r="N164" s="3">
        <v>57859.93</v>
      </c>
      <c r="O164" s="4">
        <v>30.52</v>
      </c>
      <c r="P164" s="2" t="s">
        <v>39</v>
      </c>
    </row>
    <row r="165" spans="1:16" x14ac:dyDescent="0.3">
      <c r="A165" s="5">
        <v>1763</v>
      </c>
      <c r="B165" s="5" t="s">
        <v>30</v>
      </c>
      <c r="C165" s="5" t="s">
        <v>31</v>
      </c>
      <c r="D165" s="5" t="s">
        <v>18</v>
      </c>
      <c r="E165" s="5" t="s">
        <v>42</v>
      </c>
      <c r="F165" s="5" t="s">
        <v>32</v>
      </c>
      <c r="G165" s="5" t="s">
        <v>81</v>
      </c>
      <c r="H165" s="5">
        <v>150</v>
      </c>
      <c r="I165" s="6">
        <v>14369</v>
      </c>
      <c r="J165" s="6">
        <v>2155350</v>
      </c>
      <c r="K165" s="5">
        <v>15</v>
      </c>
      <c r="L165" s="6">
        <v>1832047.5</v>
      </c>
      <c r="M165" s="6">
        <v>1219007.8400000001</v>
      </c>
      <c r="N165" s="6">
        <v>613039.66</v>
      </c>
      <c r="O165" s="7">
        <v>33.46</v>
      </c>
      <c r="P165" s="5" t="s">
        <v>45</v>
      </c>
    </row>
    <row r="166" spans="1:16" x14ac:dyDescent="0.3">
      <c r="A166" s="2">
        <v>1964</v>
      </c>
      <c r="B166" s="2" t="s">
        <v>34</v>
      </c>
      <c r="C166" s="2" t="s">
        <v>35</v>
      </c>
      <c r="D166" s="2" t="s">
        <v>36</v>
      </c>
      <c r="E166" s="2" t="s">
        <v>42</v>
      </c>
      <c r="F166" s="2" t="s">
        <v>32</v>
      </c>
      <c r="G166" s="2" t="s">
        <v>33</v>
      </c>
      <c r="H166" s="2">
        <v>110</v>
      </c>
      <c r="I166" s="3">
        <v>9791</v>
      </c>
      <c r="J166" s="3">
        <v>1077010</v>
      </c>
      <c r="K166" s="2">
        <v>0</v>
      </c>
      <c r="L166" s="3">
        <v>1077010</v>
      </c>
      <c r="M166" s="3">
        <v>682452.92</v>
      </c>
      <c r="N166" s="3">
        <v>394557.08</v>
      </c>
      <c r="O166" s="4">
        <v>36.630000000000003</v>
      </c>
      <c r="P166" s="2" t="s">
        <v>43</v>
      </c>
    </row>
    <row r="167" spans="1:16" x14ac:dyDescent="0.3">
      <c r="A167" s="5">
        <v>1287</v>
      </c>
      <c r="B167" s="5" t="s">
        <v>52</v>
      </c>
      <c r="C167" s="5" t="s">
        <v>53</v>
      </c>
      <c r="D167" s="5" t="s">
        <v>25</v>
      </c>
      <c r="E167" s="5" t="s">
        <v>44</v>
      </c>
      <c r="F167" s="5" t="s">
        <v>32</v>
      </c>
      <c r="G167" s="5" t="s">
        <v>75</v>
      </c>
      <c r="H167" s="5">
        <v>132</v>
      </c>
      <c r="I167" s="6">
        <v>11948</v>
      </c>
      <c r="J167" s="6">
        <v>1577136</v>
      </c>
      <c r="K167" s="5">
        <v>0</v>
      </c>
      <c r="L167" s="6">
        <v>1577136</v>
      </c>
      <c r="M167" s="6">
        <v>1059401.1299999999</v>
      </c>
      <c r="N167" s="6">
        <v>517734.87</v>
      </c>
      <c r="O167" s="7">
        <v>32.83</v>
      </c>
      <c r="P167" s="5" t="s">
        <v>29</v>
      </c>
    </row>
    <row r="168" spans="1:16" x14ac:dyDescent="0.3">
      <c r="A168" s="2">
        <v>1807</v>
      </c>
      <c r="B168" s="2" t="s">
        <v>70</v>
      </c>
      <c r="C168" s="2" t="s">
        <v>71</v>
      </c>
      <c r="D168" s="2" t="s">
        <v>18</v>
      </c>
      <c r="E168" s="2" t="s">
        <v>26</v>
      </c>
      <c r="F168" s="2" t="s">
        <v>37</v>
      </c>
      <c r="G168" s="2" t="s">
        <v>79</v>
      </c>
      <c r="H168" s="2">
        <v>24</v>
      </c>
      <c r="I168" s="3">
        <v>1284</v>
      </c>
      <c r="J168" s="3">
        <v>30816</v>
      </c>
      <c r="K168" s="2">
        <v>5</v>
      </c>
      <c r="L168" s="3">
        <v>29275.200000000001</v>
      </c>
      <c r="M168" s="3">
        <v>16956.55</v>
      </c>
      <c r="N168" s="3">
        <v>12318.65</v>
      </c>
      <c r="O168" s="4">
        <v>42.08</v>
      </c>
      <c r="P168" s="2" t="s">
        <v>45</v>
      </c>
    </row>
    <row r="169" spans="1:16" x14ac:dyDescent="0.3">
      <c r="A169" s="5">
        <v>1211</v>
      </c>
      <c r="B169" s="5" t="s">
        <v>52</v>
      </c>
      <c r="C169" s="5" t="s">
        <v>53</v>
      </c>
      <c r="D169" s="5" t="s">
        <v>25</v>
      </c>
      <c r="E169" s="5" t="s">
        <v>26</v>
      </c>
      <c r="F169" s="5" t="s">
        <v>32</v>
      </c>
      <c r="G169" s="5" t="s">
        <v>40</v>
      </c>
      <c r="H169" s="5">
        <v>98</v>
      </c>
      <c r="I169" s="6">
        <v>16436</v>
      </c>
      <c r="J169" s="6">
        <v>1610728</v>
      </c>
      <c r="K169" s="5">
        <v>5</v>
      </c>
      <c r="L169" s="6">
        <v>1530191.6</v>
      </c>
      <c r="M169" s="6">
        <v>984904.19</v>
      </c>
      <c r="N169" s="6">
        <v>545287.41</v>
      </c>
      <c r="O169" s="7">
        <v>35.64</v>
      </c>
      <c r="P169" s="5" t="s">
        <v>41</v>
      </c>
    </row>
    <row r="170" spans="1:16" x14ac:dyDescent="0.3">
      <c r="A170" s="2">
        <v>1410</v>
      </c>
      <c r="B170" s="2" t="s">
        <v>54</v>
      </c>
      <c r="C170" s="2" t="s">
        <v>55</v>
      </c>
      <c r="D170" s="2" t="s">
        <v>56</v>
      </c>
      <c r="E170" s="2" t="s">
        <v>26</v>
      </c>
      <c r="F170" s="2" t="s">
        <v>37</v>
      </c>
      <c r="G170" s="2" t="s">
        <v>67</v>
      </c>
      <c r="H170" s="2">
        <v>82</v>
      </c>
      <c r="I170" s="3">
        <v>1706</v>
      </c>
      <c r="J170" s="3">
        <v>139892</v>
      </c>
      <c r="K170" s="2">
        <v>10</v>
      </c>
      <c r="L170" s="3">
        <v>125902.8</v>
      </c>
      <c r="M170" s="3">
        <v>83892.45</v>
      </c>
      <c r="N170" s="3">
        <v>42010.35</v>
      </c>
      <c r="O170" s="4">
        <v>33.369999999999997</v>
      </c>
      <c r="P170" s="2" t="s">
        <v>22</v>
      </c>
    </row>
    <row r="171" spans="1:16" x14ac:dyDescent="0.3">
      <c r="A171" s="5">
        <v>1709</v>
      </c>
      <c r="B171" s="5" t="s">
        <v>30</v>
      </c>
      <c r="C171" s="5" t="s">
        <v>31</v>
      </c>
      <c r="D171" s="5" t="s">
        <v>18</v>
      </c>
      <c r="E171" s="5" t="s">
        <v>26</v>
      </c>
      <c r="F171" s="5" t="s">
        <v>37</v>
      </c>
      <c r="G171" s="5" t="s">
        <v>82</v>
      </c>
      <c r="H171" s="5">
        <v>103</v>
      </c>
      <c r="I171" s="6">
        <v>1465</v>
      </c>
      <c r="J171" s="6">
        <v>150895</v>
      </c>
      <c r="K171" s="5">
        <v>5</v>
      </c>
      <c r="L171" s="6">
        <v>143350.25</v>
      </c>
      <c r="M171" s="6">
        <v>84725.64</v>
      </c>
      <c r="N171" s="6">
        <v>58624.61</v>
      </c>
      <c r="O171" s="7">
        <v>40.9</v>
      </c>
      <c r="P171" s="5" t="s">
        <v>41</v>
      </c>
    </row>
    <row r="172" spans="1:16" x14ac:dyDescent="0.3">
      <c r="A172" s="2">
        <v>2163</v>
      </c>
      <c r="B172" s="2" t="s">
        <v>46</v>
      </c>
      <c r="C172" s="2" t="s">
        <v>47</v>
      </c>
      <c r="D172" s="2" t="s">
        <v>36</v>
      </c>
      <c r="E172" s="2" t="s">
        <v>42</v>
      </c>
      <c r="F172" s="2" t="s">
        <v>32</v>
      </c>
      <c r="G172" s="2" t="s">
        <v>81</v>
      </c>
      <c r="H172" s="2">
        <v>221</v>
      </c>
      <c r="I172" s="3">
        <v>13037</v>
      </c>
      <c r="J172" s="3">
        <v>2881177</v>
      </c>
      <c r="K172" s="2">
        <v>10</v>
      </c>
      <c r="L172" s="3">
        <v>2593059.2999999998</v>
      </c>
      <c r="M172" s="3">
        <v>1677933.91</v>
      </c>
      <c r="N172" s="3">
        <v>915125.39</v>
      </c>
      <c r="O172" s="4">
        <v>35.29</v>
      </c>
      <c r="P172" s="2" t="s">
        <v>50</v>
      </c>
    </row>
    <row r="173" spans="1:16" x14ac:dyDescent="0.3">
      <c r="A173" s="5">
        <v>1837</v>
      </c>
      <c r="B173" s="5" t="s">
        <v>70</v>
      </c>
      <c r="C173" s="5" t="s">
        <v>71</v>
      </c>
      <c r="D173" s="5" t="s">
        <v>18</v>
      </c>
      <c r="E173" s="5" t="s">
        <v>19</v>
      </c>
      <c r="F173" s="5" t="s">
        <v>32</v>
      </c>
      <c r="G173" s="5" t="s">
        <v>75</v>
      </c>
      <c r="H173" s="5">
        <v>121</v>
      </c>
      <c r="I173" s="6">
        <v>11520</v>
      </c>
      <c r="J173" s="6">
        <v>1393920</v>
      </c>
      <c r="K173" s="5">
        <v>0</v>
      </c>
      <c r="L173" s="6">
        <v>1393920</v>
      </c>
      <c r="M173" s="6">
        <v>849957.06</v>
      </c>
      <c r="N173" s="6">
        <v>543962.93999999994</v>
      </c>
      <c r="O173" s="7">
        <v>39.020000000000003</v>
      </c>
      <c r="P173" s="5" t="s">
        <v>61</v>
      </c>
    </row>
    <row r="174" spans="1:16" x14ac:dyDescent="0.3">
      <c r="A174" s="2">
        <v>1170</v>
      </c>
      <c r="B174" s="2" t="s">
        <v>23</v>
      </c>
      <c r="C174" s="2" t="s">
        <v>24</v>
      </c>
      <c r="D174" s="2" t="s">
        <v>25</v>
      </c>
      <c r="E174" s="2" t="s">
        <v>42</v>
      </c>
      <c r="F174" s="2" t="s">
        <v>20</v>
      </c>
      <c r="G174" s="2" t="s">
        <v>60</v>
      </c>
      <c r="H174" s="2">
        <v>68</v>
      </c>
      <c r="I174" s="3">
        <v>83</v>
      </c>
      <c r="J174" s="3">
        <v>5644</v>
      </c>
      <c r="K174" s="2">
        <v>0</v>
      </c>
      <c r="L174" s="3">
        <v>5644</v>
      </c>
      <c r="M174" s="3">
        <v>3479.82</v>
      </c>
      <c r="N174" s="3">
        <v>2164.1799999999998</v>
      </c>
      <c r="O174" s="4">
        <v>38.340000000000003</v>
      </c>
      <c r="P174" s="2" t="s">
        <v>50</v>
      </c>
    </row>
    <row r="175" spans="1:16" x14ac:dyDescent="0.3">
      <c r="A175" s="5">
        <v>2152</v>
      </c>
      <c r="B175" s="5" t="s">
        <v>46</v>
      </c>
      <c r="C175" s="5" t="s">
        <v>47</v>
      </c>
      <c r="D175" s="5" t="s">
        <v>36</v>
      </c>
      <c r="E175" s="5" t="s">
        <v>42</v>
      </c>
      <c r="F175" s="5" t="s">
        <v>27</v>
      </c>
      <c r="G175" s="5" t="s">
        <v>28</v>
      </c>
      <c r="H175" s="5">
        <v>128</v>
      </c>
      <c r="I175" s="6">
        <v>7872</v>
      </c>
      <c r="J175" s="6">
        <v>1007616</v>
      </c>
      <c r="K175" s="5">
        <v>0</v>
      </c>
      <c r="L175" s="6">
        <v>1007616</v>
      </c>
      <c r="M175" s="6">
        <v>598249.35</v>
      </c>
      <c r="N175" s="6">
        <v>409366.65</v>
      </c>
      <c r="O175" s="7">
        <v>40.630000000000003</v>
      </c>
      <c r="P175" s="5" t="s">
        <v>29</v>
      </c>
    </row>
    <row r="176" spans="1:16" x14ac:dyDescent="0.3">
      <c r="A176" s="2">
        <v>1101</v>
      </c>
      <c r="B176" s="2" t="s">
        <v>23</v>
      </c>
      <c r="C176" s="2" t="s">
        <v>24</v>
      </c>
      <c r="D176" s="2" t="s">
        <v>25</v>
      </c>
      <c r="E176" s="2" t="s">
        <v>26</v>
      </c>
      <c r="F176" s="2" t="s">
        <v>27</v>
      </c>
      <c r="G176" s="2" t="s">
        <v>85</v>
      </c>
      <c r="H176" s="2">
        <v>58</v>
      </c>
      <c r="I176" s="3">
        <v>11891</v>
      </c>
      <c r="J176" s="3">
        <v>689678</v>
      </c>
      <c r="K176" s="2">
        <v>10</v>
      </c>
      <c r="L176" s="3">
        <v>620710.19999999995</v>
      </c>
      <c r="M176" s="3">
        <v>412266.07</v>
      </c>
      <c r="N176" s="3">
        <v>208444.13</v>
      </c>
      <c r="O176" s="4">
        <v>33.58</v>
      </c>
      <c r="P176" s="2" t="s">
        <v>22</v>
      </c>
    </row>
    <row r="177" spans="1:16" x14ac:dyDescent="0.3">
      <c r="A177" s="5">
        <v>1016</v>
      </c>
      <c r="B177" s="5" t="s">
        <v>62</v>
      </c>
      <c r="C177" s="5" t="s">
        <v>63</v>
      </c>
      <c r="D177" s="5" t="s">
        <v>25</v>
      </c>
      <c r="E177" s="5" t="s">
        <v>26</v>
      </c>
      <c r="F177" s="5" t="s">
        <v>20</v>
      </c>
      <c r="G177" s="5" t="s">
        <v>64</v>
      </c>
      <c r="H177" s="5">
        <v>62</v>
      </c>
      <c r="I177" s="6">
        <v>217</v>
      </c>
      <c r="J177" s="6">
        <v>13454</v>
      </c>
      <c r="K177" s="5">
        <v>20</v>
      </c>
      <c r="L177" s="6">
        <v>10763.2</v>
      </c>
      <c r="M177" s="6">
        <v>6150.42</v>
      </c>
      <c r="N177" s="6">
        <v>4612.78</v>
      </c>
      <c r="O177" s="7">
        <v>42.86</v>
      </c>
      <c r="P177" s="5" t="s">
        <v>61</v>
      </c>
    </row>
    <row r="178" spans="1:16" x14ac:dyDescent="0.3">
      <c r="A178" s="2">
        <v>1112</v>
      </c>
      <c r="B178" s="2" t="s">
        <v>23</v>
      </c>
      <c r="C178" s="2" t="s">
        <v>24</v>
      </c>
      <c r="D178" s="2" t="s">
        <v>25</v>
      </c>
      <c r="E178" s="2" t="s">
        <v>26</v>
      </c>
      <c r="F178" s="2" t="s">
        <v>32</v>
      </c>
      <c r="G178" s="2" t="s">
        <v>75</v>
      </c>
      <c r="H178" s="2">
        <v>20</v>
      </c>
      <c r="I178" s="3">
        <v>11808</v>
      </c>
      <c r="J178" s="3">
        <v>236160</v>
      </c>
      <c r="K178" s="2">
        <v>20</v>
      </c>
      <c r="L178" s="3">
        <v>188928</v>
      </c>
      <c r="M178" s="3">
        <v>106901.29</v>
      </c>
      <c r="N178" s="3">
        <v>82026.710000000006</v>
      </c>
      <c r="O178" s="4">
        <v>43.42</v>
      </c>
      <c r="P178" s="2" t="s">
        <v>41</v>
      </c>
    </row>
    <row r="179" spans="1:16" x14ac:dyDescent="0.3">
      <c r="A179" s="5">
        <v>1466</v>
      </c>
      <c r="B179" s="5" t="s">
        <v>54</v>
      </c>
      <c r="C179" s="5" t="s">
        <v>55</v>
      </c>
      <c r="D179" s="5" t="s">
        <v>56</v>
      </c>
      <c r="E179" s="5" t="s">
        <v>42</v>
      </c>
      <c r="F179" s="5" t="s">
        <v>20</v>
      </c>
      <c r="G179" s="5" t="s">
        <v>64</v>
      </c>
      <c r="H179" s="5">
        <v>71</v>
      </c>
      <c r="I179" s="6">
        <v>194</v>
      </c>
      <c r="J179" s="6">
        <v>13774</v>
      </c>
      <c r="K179" s="5">
        <v>5</v>
      </c>
      <c r="L179" s="6">
        <v>13085.3</v>
      </c>
      <c r="M179" s="6">
        <v>8219.76</v>
      </c>
      <c r="N179" s="6">
        <v>4865.54</v>
      </c>
      <c r="O179" s="7">
        <v>37.18</v>
      </c>
      <c r="P179" s="5" t="s">
        <v>41</v>
      </c>
    </row>
    <row r="180" spans="1:16" x14ac:dyDescent="0.3">
      <c r="A180" s="2">
        <v>1973</v>
      </c>
      <c r="B180" s="2" t="s">
        <v>34</v>
      </c>
      <c r="C180" s="2" t="s">
        <v>35</v>
      </c>
      <c r="D180" s="2" t="s">
        <v>36</v>
      </c>
      <c r="E180" s="2" t="s">
        <v>42</v>
      </c>
      <c r="F180" s="2" t="s">
        <v>48</v>
      </c>
      <c r="G180" s="2" t="s">
        <v>49</v>
      </c>
      <c r="H180" s="2">
        <v>32</v>
      </c>
      <c r="I180" s="3">
        <v>747</v>
      </c>
      <c r="J180" s="3">
        <v>23904</v>
      </c>
      <c r="K180" s="2">
        <v>10</v>
      </c>
      <c r="L180" s="3">
        <v>21513.599999999999</v>
      </c>
      <c r="M180" s="3">
        <v>13657.34</v>
      </c>
      <c r="N180" s="3">
        <v>7856.26</v>
      </c>
      <c r="O180" s="4">
        <v>36.520000000000003</v>
      </c>
      <c r="P180" s="2" t="s">
        <v>61</v>
      </c>
    </row>
    <row r="181" spans="1:16" x14ac:dyDescent="0.3">
      <c r="A181" s="5">
        <v>1299</v>
      </c>
      <c r="B181" s="5" t="s">
        <v>52</v>
      </c>
      <c r="C181" s="5" t="s">
        <v>53</v>
      </c>
      <c r="D181" s="5" t="s">
        <v>25</v>
      </c>
      <c r="E181" s="5" t="s">
        <v>44</v>
      </c>
      <c r="F181" s="5" t="s">
        <v>48</v>
      </c>
      <c r="G181" s="5" t="s">
        <v>51</v>
      </c>
      <c r="H181" s="5">
        <v>60</v>
      </c>
      <c r="I181" s="6">
        <v>2120</v>
      </c>
      <c r="J181" s="6">
        <v>127200</v>
      </c>
      <c r="K181" s="5">
        <v>0</v>
      </c>
      <c r="L181" s="6">
        <v>127200</v>
      </c>
      <c r="M181" s="6">
        <v>88139.22</v>
      </c>
      <c r="N181" s="6">
        <v>39060.78</v>
      </c>
      <c r="O181" s="7">
        <v>30.71</v>
      </c>
      <c r="P181" s="5" t="s">
        <v>61</v>
      </c>
    </row>
    <row r="182" spans="1:16" x14ac:dyDescent="0.3">
      <c r="A182" s="2">
        <v>2126</v>
      </c>
      <c r="B182" s="2" t="s">
        <v>46</v>
      </c>
      <c r="C182" s="2" t="s">
        <v>47</v>
      </c>
      <c r="D182" s="2" t="s">
        <v>36</v>
      </c>
      <c r="E182" s="2" t="s">
        <v>19</v>
      </c>
      <c r="F182" s="2" t="s">
        <v>27</v>
      </c>
      <c r="G182" s="2" t="s">
        <v>85</v>
      </c>
      <c r="H182" s="2">
        <v>186</v>
      </c>
      <c r="I182" s="3">
        <v>11901</v>
      </c>
      <c r="J182" s="3">
        <v>2213586</v>
      </c>
      <c r="K182" s="2">
        <v>0</v>
      </c>
      <c r="L182" s="3">
        <v>2213586</v>
      </c>
      <c r="M182" s="3">
        <v>1469933.86</v>
      </c>
      <c r="N182" s="3">
        <v>743652.14</v>
      </c>
      <c r="O182" s="4">
        <v>33.590000000000003</v>
      </c>
      <c r="P182" s="2" t="s">
        <v>45</v>
      </c>
    </row>
    <row r="183" spans="1:16" x14ac:dyDescent="0.3">
      <c r="A183" s="5">
        <v>1458</v>
      </c>
      <c r="B183" s="5" t="s">
        <v>54</v>
      </c>
      <c r="C183" s="5" t="s">
        <v>55</v>
      </c>
      <c r="D183" s="5" t="s">
        <v>56</v>
      </c>
      <c r="E183" s="5" t="s">
        <v>42</v>
      </c>
      <c r="F183" s="5" t="s">
        <v>37</v>
      </c>
      <c r="G183" s="5" t="s">
        <v>38</v>
      </c>
      <c r="H183" s="5">
        <v>32</v>
      </c>
      <c r="I183" s="6">
        <v>2196</v>
      </c>
      <c r="J183" s="6">
        <v>70272</v>
      </c>
      <c r="K183" s="5">
        <v>20</v>
      </c>
      <c r="L183" s="6">
        <v>56217.599999999999</v>
      </c>
      <c r="M183" s="6">
        <v>35829.53</v>
      </c>
      <c r="N183" s="6">
        <v>20388.07</v>
      </c>
      <c r="O183" s="7">
        <v>36.270000000000003</v>
      </c>
      <c r="P183" s="5" t="s">
        <v>22</v>
      </c>
    </row>
    <row r="184" spans="1:16" x14ac:dyDescent="0.3">
      <c r="A184" s="2">
        <v>1018</v>
      </c>
      <c r="B184" s="2" t="s">
        <v>62</v>
      </c>
      <c r="C184" s="2" t="s">
        <v>63</v>
      </c>
      <c r="D184" s="2" t="s">
        <v>25</v>
      </c>
      <c r="E184" s="2" t="s">
        <v>26</v>
      </c>
      <c r="F184" s="2" t="s">
        <v>20</v>
      </c>
      <c r="G184" s="2" t="s">
        <v>21</v>
      </c>
      <c r="H184" s="2">
        <v>120</v>
      </c>
      <c r="I184" s="3">
        <v>118</v>
      </c>
      <c r="J184" s="3">
        <v>14160</v>
      </c>
      <c r="K184" s="2">
        <v>5</v>
      </c>
      <c r="L184" s="3">
        <v>13452</v>
      </c>
      <c r="M184" s="3">
        <v>9411</v>
      </c>
      <c r="N184" s="3">
        <v>4041</v>
      </c>
      <c r="O184" s="4">
        <v>30.04</v>
      </c>
      <c r="P184" s="2" t="s">
        <v>61</v>
      </c>
    </row>
    <row r="185" spans="1:16" x14ac:dyDescent="0.3">
      <c r="A185" s="5">
        <v>1911</v>
      </c>
      <c r="B185" s="5" t="s">
        <v>34</v>
      </c>
      <c r="C185" s="5" t="s">
        <v>35</v>
      </c>
      <c r="D185" s="5" t="s">
        <v>36</v>
      </c>
      <c r="E185" s="5" t="s">
        <v>26</v>
      </c>
      <c r="F185" s="5" t="s">
        <v>32</v>
      </c>
      <c r="G185" s="5" t="s">
        <v>40</v>
      </c>
      <c r="H185" s="5">
        <v>115</v>
      </c>
      <c r="I185" s="6">
        <v>19776</v>
      </c>
      <c r="J185" s="6">
        <v>2274240</v>
      </c>
      <c r="K185" s="5">
        <v>5</v>
      </c>
      <c r="L185" s="6">
        <v>2160528</v>
      </c>
      <c r="M185" s="6">
        <v>1190419.22</v>
      </c>
      <c r="N185" s="6">
        <v>970108.78</v>
      </c>
      <c r="O185" s="7">
        <v>44.9</v>
      </c>
      <c r="P185" s="5" t="s">
        <v>45</v>
      </c>
    </row>
    <row r="186" spans="1:16" x14ac:dyDescent="0.3">
      <c r="A186" s="2">
        <v>1215</v>
      </c>
      <c r="B186" s="2" t="s">
        <v>52</v>
      </c>
      <c r="C186" s="2" t="s">
        <v>53</v>
      </c>
      <c r="D186" s="2" t="s">
        <v>25</v>
      </c>
      <c r="E186" s="2" t="s">
        <v>26</v>
      </c>
      <c r="F186" s="2" t="s">
        <v>32</v>
      </c>
      <c r="G186" s="2" t="s">
        <v>65</v>
      </c>
      <c r="H186" s="2">
        <v>60</v>
      </c>
      <c r="I186" s="3">
        <v>4813</v>
      </c>
      <c r="J186" s="3">
        <v>288780</v>
      </c>
      <c r="K186" s="2">
        <v>5</v>
      </c>
      <c r="L186" s="3">
        <v>274341</v>
      </c>
      <c r="M186" s="3">
        <v>166290.47</v>
      </c>
      <c r="N186" s="3">
        <v>108050.53</v>
      </c>
      <c r="O186" s="4">
        <v>39.39</v>
      </c>
      <c r="P186" s="2" t="s">
        <v>61</v>
      </c>
    </row>
    <row r="187" spans="1:16" x14ac:dyDescent="0.3">
      <c r="A187" s="5">
        <v>1436</v>
      </c>
      <c r="B187" s="5" t="s">
        <v>54</v>
      </c>
      <c r="C187" s="5" t="s">
        <v>55</v>
      </c>
      <c r="D187" s="5" t="s">
        <v>56</v>
      </c>
      <c r="E187" s="5" t="s">
        <v>19</v>
      </c>
      <c r="F187" s="5" t="s">
        <v>32</v>
      </c>
      <c r="G187" s="5" t="s">
        <v>40</v>
      </c>
      <c r="H187" s="5">
        <v>145</v>
      </c>
      <c r="I187" s="6">
        <v>17375</v>
      </c>
      <c r="J187" s="6">
        <v>2519375</v>
      </c>
      <c r="K187" s="5">
        <v>5</v>
      </c>
      <c r="L187" s="6">
        <v>2393406.25</v>
      </c>
      <c r="M187" s="6">
        <v>1597675.79</v>
      </c>
      <c r="N187" s="6">
        <v>795730.46</v>
      </c>
      <c r="O187" s="7">
        <v>33.25</v>
      </c>
      <c r="P187" s="5" t="s">
        <v>39</v>
      </c>
    </row>
    <row r="188" spans="1:16" x14ac:dyDescent="0.3">
      <c r="A188" s="2">
        <v>2006</v>
      </c>
      <c r="B188" s="2" t="s">
        <v>76</v>
      </c>
      <c r="C188" s="2" t="s">
        <v>77</v>
      </c>
      <c r="D188" s="2" t="s">
        <v>36</v>
      </c>
      <c r="E188" s="2" t="s">
        <v>26</v>
      </c>
      <c r="F188" s="2" t="s">
        <v>37</v>
      </c>
      <c r="G188" s="2" t="s">
        <v>59</v>
      </c>
      <c r="H188" s="2">
        <v>186</v>
      </c>
      <c r="I188" s="3">
        <v>541</v>
      </c>
      <c r="J188" s="3">
        <v>100626</v>
      </c>
      <c r="K188" s="2">
        <v>20</v>
      </c>
      <c r="L188" s="3">
        <v>80500.800000000003</v>
      </c>
      <c r="M188" s="3">
        <v>50385.39</v>
      </c>
      <c r="N188" s="3">
        <v>30115.41</v>
      </c>
      <c r="O188" s="4">
        <v>37.409999999999997</v>
      </c>
      <c r="P188" s="2" t="s">
        <v>39</v>
      </c>
    </row>
    <row r="189" spans="1:16" x14ac:dyDescent="0.3">
      <c r="A189" s="5">
        <v>1399</v>
      </c>
      <c r="B189" s="5" t="s">
        <v>57</v>
      </c>
      <c r="C189" s="5" t="s">
        <v>58</v>
      </c>
      <c r="D189" s="5" t="s">
        <v>56</v>
      </c>
      <c r="E189" s="5" t="s">
        <v>44</v>
      </c>
      <c r="F189" s="5" t="s">
        <v>48</v>
      </c>
      <c r="G189" s="5" t="s">
        <v>51</v>
      </c>
      <c r="H189" s="5">
        <v>92</v>
      </c>
      <c r="I189" s="6">
        <v>2037</v>
      </c>
      <c r="J189" s="6">
        <v>187404</v>
      </c>
      <c r="K189" s="5">
        <v>0</v>
      </c>
      <c r="L189" s="6">
        <v>187404</v>
      </c>
      <c r="M189" s="6">
        <v>120669.24</v>
      </c>
      <c r="N189" s="6">
        <v>66734.759999999995</v>
      </c>
      <c r="O189" s="7">
        <v>35.61</v>
      </c>
      <c r="P189" s="5" t="s">
        <v>22</v>
      </c>
    </row>
    <row r="190" spans="1:16" x14ac:dyDescent="0.3">
      <c r="A190" s="2">
        <v>1968</v>
      </c>
      <c r="B190" s="2" t="s">
        <v>34</v>
      </c>
      <c r="C190" s="2" t="s">
        <v>35</v>
      </c>
      <c r="D190" s="2" t="s">
        <v>36</v>
      </c>
      <c r="E190" s="2" t="s">
        <v>42</v>
      </c>
      <c r="F190" s="2" t="s">
        <v>20</v>
      </c>
      <c r="G190" s="2" t="s">
        <v>21</v>
      </c>
      <c r="H190" s="2">
        <v>54</v>
      </c>
      <c r="I190" s="3">
        <v>122</v>
      </c>
      <c r="J190" s="3">
        <v>6588</v>
      </c>
      <c r="K190" s="2">
        <v>0</v>
      </c>
      <c r="L190" s="3">
        <v>6588</v>
      </c>
      <c r="M190" s="3">
        <v>4011.83</v>
      </c>
      <c r="N190" s="3">
        <v>2576.17</v>
      </c>
      <c r="O190" s="4">
        <v>39.1</v>
      </c>
      <c r="P190" s="2" t="s">
        <v>41</v>
      </c>
    </row>
    <row r="191" spans="1:16" x14ac:dyDescent="0.3">
      <c r="A191" s="5">
        <v>1491</v>
      </c>
      <c r="B191" s="5" t="s">
        <v>54</v>
      </c>
      <c r="C191" s="5" t="s">
        <v>55</v>
      </c>
      <c r="D191" s="5" t="s">
        <v>56</v>
      </c>
      <c r="E191" s="5" t="s">
        <v>44</v>
      </c>
      <c r="F191" s="5" t="s">
        <v>20</v>
      </c>
      <c r="G191" s="5" t="s">
        <v>64</v>
      </c>
      <c r="H191" s="5">
        <v>43</v>
      </c>
      <c r="I191" s="6">
        <v>186</v>
      </c>
      <c r="J191" s="6">
        <v>7998</v>
      </c>
      <c r="K191" s="5">
        <v>5</v>
      </c>
      <c r="L191" s="6">
        <v>7598.1</v>
      </c>
      <c r="M191" s="6">
        <v>5106.1499999999996</v>
      </c>
      <c r="N191" s="6">
        <v>2491.9499999999998</v>
      </c>
      <c r="O191" s="7">
        <v>32.799999999999997</v>
      </c>
      <c r="P191" s="5" t="s">
        <v>43</v>
      </c>
    </row>
    <row r="192" spans="1:16" x14ac:dyDescent="0.3">
      <c r="A192" s="2">
        <v>1272</v>
      </c>
      <c r="B192" s="2" t="s">
        <v>52</v>
      </c>
      <c r="C192" s="2" t="s">
        <v>53</v>
      </c>
      <c r="D192" s="2" t="s">
        <v>25</v>
      </c>
      <c r="E192" s="2" t="s">
        <v>42</v>
      </c>
      <c r="F192" s="2" t="s">
        <v>48</v>
      </c>
      <c r="G192" s="2" t="s">
        <v>78</v>
      </c>
      <c r="H192" s="2">
        <v>133</v>
      </c>
      <c r="I192" s="3">
        <v>590</v>
      </c>
      <c r="J192" s="3">
        <v>78470</v>
      </c>
      <c r="K192" s="2">
        <v>15</v>
      </c>
      <c r="L192" s="3">
        <v>66699.5</v>
      </c>
      <c r="M192" s="3">
        <v>41707.269999999997</v>
      </c>
      <c r="N192" s="3">
        <v>24992.23</v>
      </c>
      <c r="O192" s="4">
        <v>37.47</v>
      </c>
      <c r="P192" s="2" t="s">
        <v>45</v>
      </c>
    </row>
    <row r="193" spans="1:16" x14ac:dyDescent="0.3">
      <c r="A193" s="5">
        <v>1840</v>
      </c>
      <c r="B193" s="5" t="s">
        <v>70</v>
      </c>
      <c r="C193" s="5" t="s">
        <v>71</v>
      </c>
      <c r="D193" s="5" t="s">
        <v>18</v>
      </c>
      <c r="E193" s="5" t="s">
        <v>19</v>
      </c>
      <c r="F193" s="5" t="s">
        <v>32</v>
      </c>
      <c r="G193" s="5" t="s">
        <v>65</v>
      </c>
      <c r="H193" s="5">
        <v>64</v>
      </c>
      <c r="I193" s="6">
        <v>4912</v>
      </c>
      <c r="J193" s="6">
        <v>314368</v>
      </c>
      <c r="K193" s="5">
        <v>10</v>
      </c>
      <c r="L193" s="6">
        <v>282931.20000000001</v>
      </c>
      <c r="M193" s="6">
        <v>192423.01</v>
      </c>
      <c r="N193" s="6">
        <v>90508.19</v>
      </c>
      <c r="O193" s="7">
        <v>31.99</v>
      </c>
      <c r="P193" s="5" t="s">
        <v>45</v>
      </c>
    </row>
    <row r="194" spans="1:16" x14ac:dyDescent="0.3">
      <c r="A194" s="2">
        <v>1118</v>
      </c>
      <c r="B194" s="2" t="s">
        <v>23</v>
      </c>
      <c r="C194" s="2" t="s">
        <v>24</v>
      </c>
      <c r="D194" s="2" t="s">
        <v>25</v>
      </c>
      <c r="E194" s="2" t="s">
        <v>26</v>
      </c>
      <c r="F194" s="2" t="s">
        <v>20</v>
      </c>
      <c r="G194" s="2" t="s">
        <v>21</v>
      </c>
      <c r="H194" s="2">
        <v>60</v>
      </c>
      <c r="I194" s="3">
        <v>129</v>
      </c>
      <c r="J194" s="3">
        <v>7740</v>
      </c>
      <c r="K194" s="2">
        <v>5</v>
      </c>
      <c r="L194" s="3">
        <v>7353</v>
      </c>
      <c r="M194" s="3">
        <v>4657.16</v>
      </c>
      <c r="N194" s="3">
        <v>2695.84</v>
      </c>
      <c r="O194" s="4">
        <v>36.659999999999997</v>
      </c>
      <c r="P194" s="2" t="s">
        <v>45</v>
      </c>
    </row>
    <row r="195" spans="1:16" x14ac:dyDescent="0.3">
      <c r="A195" s="5">
        <v>1105</v>
      </c>
      <c r="B195" s="5" t="s">
        <v>23</v>
      </c>
      <c r="C195" s="5" t="s">
        <v>24</v>
      </c>
      <c r="D195" s="5" t="s">
        <v>25</v>
      </c>
      <c r="E195" s="5" t="s">
        <v>26</v>
      </c>
      <c r="F195" s="5" t="s">
        <v>27</v>
      </c>
      <c r="G195" s="5" t="s">
        <v>84</v>
      </c>
      <c r="H195" s="5">
        <v>42</v>
      </c>
      <c r="I195" s="6">
        <v>13561</v>
      </c>
      <c r="J195" s="6">
        <v>569562</v>
      </c>
      <c r="K195" s="5">
        <v>0</v>
      </c>
      <c r="L195" s="6">
        <v>569562</v>
      </c>
      <c r="M195" s="6">
        <v>333639.02</v>
      </c>
      <c r="N195" s="6">
        <v>235922.98</v>
      </c>
      <c r="O195" s="7">
        <v>41.42</v>
      </c>
      <c r="P195" s="5" t="s">
        <v>39</v>
      </c>
    </row>
    <row r="196" spans="1:16" x14ac:dyDescent="0.3">
      <c r="A196" s="2">
        <v>1106</v>
      </c>
      <c r="B196" s="2" t="s">
        <v>23</v>
      </c>
      <c r="C196" s="2" t="s">
        <v>24</v>
      </c>
      <c r="D196" s="2" t="s">
        <v>25</v>
      </c>
      <c r="E196" s="2" t="s">
        <v>26</v>
      </c>
      <c r="F196" s="2" t="s">
        <v>37</v>
      </c>
      <c r="G196" s="2" t="s">
        <v>59</v>
      </c>
      <c r="H196" s="2">
        <v>100</v>
      </c>
      <c r="I196" s="3">
        <v>506</v>
      </c>
      <c r="J196" s="3">
        <v>50600</v>
      </c>
      <c r="K196" s="2">
        <v>5</v>
      </c>
      <c r="L196" s="3">
        <v>48070</v>
      </c>
      <c r="M196" s="3">
        <v>29791.63</v>
      </c>
      <c r="N196" s="3">
        <v>18278.37</v>
      </c>
      <c r="O196" s="4">
        <v>38.020000000000003</v>
      </c>
      <c r="P196" s="2" t="s">
        <v>50</v>
      </c>
    </row>
    <row r="197" spans="1:16" x14ac:dyDescent="0.3">
      <c r="A197" s="5">
        <v>1927</v>
      </c>
      <c r="B197" s="5" t="s">
        <v>34</v>
      </c>
      <c r="C197" s="5" t="s">
        <v>35</v>
      </c>
      <c r="D197" s="5" t="s">
        <v>36</v>
      </c>
      <c r="E197" s="5" t="s">
        <v>19</v>
      </c>
      <c r="F197" s="5" t="s">
        <v>27</v>
      </c>
      <c r="G197" s="5" t="s">
        <v>28</v>
      </c>
      <c r="H197" s="5">
        <v>137</v>
      </c>
      <c r="I197" s="6">
        <v>7717</v>
      </c>
      <c r="J197" s="6">
        <v>1057229</v>
      </c>
      <c r="K197" s="5">
        <v>0</v>
      </c>
      <c r="L197" s="6">
        <v>1057229</v>
      </c>
      <c r="M197" s="6">
        <v>599321.43000000005</v>
      </c>
      <c r="N197" s="6">
        <v>457907.57</v>
      </c>
      <c r="O197" s="7">
        <v>43.31</v>
      </c>
      <c r="P197" s="5" t="s">
        <v>22</v>
      </c>
    </row>
    <row r="198" spans="1:16" x14ac:dyDescent="0.3">
      <c r="A198" s="2">
        <v>2039</v>
      </c>
      <c r="B198" s="2" t="s">
        <v>76</v>
      </c>
      <c r="C198" s="2" t="s">
        <v>77</v>
      </c>
      <c r="D198" s="2" t="s">
        <v>36</v>
      </c>
      <c r="E198" s="2" t="s">
        <v>19</v>
      </c>
      <c r="F198" s="2" t="s">
        <v>32</v>
      </c>
      <c r="G198" s="2" t="s">
        <v>33</v>
      </c>
      <c r="H198" s="2">
        <v>26</v>
      </c>
      <c r="I198" s="3">
        <v>10120</v>
      </c>
      <c r="J198" s="3">
        <v>263120</v>
      </c>
      <c r="K198" s="2">
        <v>10</v>
      </c>
      <c r="L198" s="3">
        <v>236808</v>
      </c>
      <c r="M198" s="3">
        <v>134141.01999999999</v>
      </c>
      <c r="N198" s="3">
        <v>102666.98</v>
      </c>
      <c r="O198" s="4">
        <v>43.35</v>
      </c>
      <c r="P198" s="2" t="s">
        <v>50</v>
      </c>
    </row>
    <row r="199" spans="1:16" x14ac:dyDescent="0.3">
      <c r="A199" s="5">
        <v>1278</v>
      </c>
      <c r="B199" s="5" t="s">
        <v>52</v>
      </c>
      <c r="C199" s="5" t="s">
        <v>53</v>
      </c>
      <c r="D199" s="5" t="s">
        <v>25</v>
      </c>
      <c r="E199" s="5" t="s">
        <v>44</v>
      </c>
      <c r="F199" s="5" t="s">
        <v>27</v>
      </c>
      <c r="G199" s="5" t="s">
        <v>83</v>
      </c>
      <c r="H199" s="5">
        <v>45</v>
      </c>
      <c r="I199" s="6">
        <v>4622</v>
      </c>
      <c r="J199" s="6">
        <v>207990</v>
      </c>
      <c r="K199" s="5">
        <v>5</v>
      </c>
      <c r="L199" s="6">
        <v>197590.5</v>
      </c>
      <c r="M199" s="6">
        <v>121117.81</v>
      </c>
      <c r="N199" s="6">
        <v>76472.69</v>
      </c>
      <c r="O199" s="7">
        <v>38.700000000000003</v>
      </c>
      <c r="P199" s="5" t="s">
        <v>39</v>
      </c>
    </row>
    <row r="200" spans="1:16" x14ac:dyDescent="0.3">
      <c r="A200" s="2">
        <v>1468</v>
      </c>
      <c r="B200" s="2" t="s">
        <v>54</v>
      </c>
      <c r="C200" s="2" t="s">
        <v>55</v>
      </c>
      <c r="D200" s="2" t="s">
        <v>56</v>
      </c>
      <c r="E200" s="2" t="s">
        <v>42</v>
      </c>
      <c r="F200" s="2" t="s">
        <v>20</v>
      </c>
      <c r="G200" s="2" t="s">
        <v>21</v>
      </c>
      <c r="H200" s="2">
        <v>28</v>
      </c>
      <c r="I200" s="3">
        <v>125</v>
      </c>
      <c r="J200" s="3">
        <v>3500</v>
      </c>
      <c r="K200" s="2">
        <v>0</v>
      </c>
      <c r="L200" s="3">
        <v>3500</v>
      </c>
      <c r="M200" s="3">
        <v>2370.8200000000002</v>
      </c>
      <c r="N200" s="3">
        <v>1129.18</v>
      </c>
      <c r="O200" s="4">
        <v>32.26</v>
      </c>
      <c r="P200" s="2" t="s">
        <v>29</v>
      </c>
    </row>
    <row r="201" spans="1:16" x14ac:dyDescent="0.3">
      <c r="A201" s="5">
        <v>1905</v>
      </c>
      <c r="B201" s="5" t="s">
        <v>34</v>
      </c>
      <c r="C201" s="5" t="s">
        <v>35</v>
      </c>
      <c r="D201" s="5" t="s">
        <v>36</v>
      </c>
      <c r="E201" s="5" t="s">
        <v>26</v>
      </c>
      <c r="F201" s="5" t="s">
        <v>27</v>
      </c>
      <c r="G201" s="5" t="s">
        <v>84</v>
      </c>
      <c r="H201" s="5">
        <v>142</v>
      </c>
      <c r="I201" s="6">
        <v>15608</v>
      </c>
      <c r="J201" s="6">
        <v>2216336</v>
      </c>
      <c r="K201" s="5">
        <v>15</v>
      </c>
      <c r="L201" s="6">
        <v>1883885.6</v>
      </c>
      <c r="M201" s="6">
        <v>1285608</v>
      </c>
      <c r="N201" s="6">
        <v>598277.6</v>
      </c>
      <c r="O201" s="7">
        <v>31.76</v>
      </c>
      <c r="P201" s="5" t="s">
        <v>61</v>
      </c>
    </row>
    <row r="202" spans="1:16" x14ac:dyDescent="0.3">
      <c r="A202" s="2">
        <v>1452</v>
      </c>
      <c r="B202" s="2" t="s">
        <v>54</v>
      </c>
      <c r="C202" s="2" t="s">
        <v>55</v>
      </c>
      <c r="D202" s="2" t="s">
        <v>56</v>
      </c>
      <c r="E202" s="2" t="s">
        <v>42</v>
      </c>
      <c r="F202" s="2" t="s">
        <v>27</v>
      </c>
      <c r="G202" s="2" t="s">
        <v>28</v>
      </c>
      <c r="H202" s="2">
        <v>127</v>
      </c>
      <c r="I202" s="3">
        <v>8213</v>
      </c>
      <c r="J202" s="3">
        <v>1043051</v>
      </c>
      <c r="K202" s="2">
        <v>5</v>
      </c>
      <c r="L202" s="3">
        <v>990898.45</v>
      </c>
      <c r="M202" s="3">
        <v>593432.17000000004</v>
      </c>
      <c r="N202" s="3">
        <v>397466.28</v>
      </c>
      <c r="O202" s="4">
        <v>40.11</v>
      </c>
      <c r="P202" s="2" t="s">
        <v>50</v>
      </c>
    </row>
    <row r="203" spans="1:16" x14ac:dyDescent="0.3">
      <c r="A203" s="5">
        <v>2149</v>
      </c>
      <c r="B203" s="5" t="s">
        <v>46</v>
      </c>
      <c r="C203" s="5" t="s">
        <v>47</v>
      </c>
      <c r="D203" s="5" t="s">
        <v>36</v>
      </c>
      <c r="E203" s="5" t="s">
        <v>19</v>
      </c>
      <c r="F203" s="5" t="s">
        <v>48</v>
      </c>
      <c r="G203" s="5" t="s">
        <v>51</v>
      </c>
      <c r="H203" s="5">
        <v>44</v>
      </c>
      <c r="I203" s="6">
        <v>1956</v>
      </c>
      <c r="J203" s="6">
        <v>86064</v>
      </c>
      <c r="K203" s="5">
        <v>0</v>
      </c>
      <c r="L203" s="6">
        <v>86064</v>
      </c>
      <c r="M203" s="6">
        <v>51057.98</v>
      </c>
      <c r="N203" s="6">
        <v>35006.019999999997</v>
      </c>
      <c r="O203" s="7">
        <v>40.67</v>
      </c>
      <c r="P203" s="5" t="s">
        <v>29</v>
      </c>
    </row>
    <row r="204" spans="1:16" x14ac:dyDescent="0.3">
      <c r="A204" s="2">
        <v>1193</v>
      </c>
      <c r="B204" s="2" t="s">
        <v>23</v>
      </c>
      <c r="C204" s="2" t="s">
        <v>24</v>
      </c>
      <c r="D204" s="2" t="s">
        <v>25</v>
      </c>
      <c r="E204" s="2" t="s">
        <v>44</v>
      </c>
      <c r="F204" s="2" t="s">
        <v>20</v>
      </c>
      <c r="G204" s="2" t="s">
        <v>21</v>
      </c>
      <c r="H204" s="2">
        <v>88</v>
      </c>
      <c r="I204" s="3">
        <v>111</v>
      </c>
      <c r="J204" s="3">
        <v>9768</v>
      </c>
      <c r="K204" s="2">
        <v>0</v>
      </c>
      <c r="L204" s="3">
        <v>9768</v>
      </c>
      <c r="M204" s="3">
        <v>6758.86</v>
      </c>
      <c r="N204" s="3">
        <v>3009.14</v>
      </c>
      <c r="O204" s="4">
        <v>30.81</v>
      </c>
      <c r="P204" s="2" t="s">
        <v>50</v>
      </c>
    </row>
    <row r="205" spans="1:16" x14ac:dyDescent="0.3">
      <c r="A205" s="5">
        <v>2049</v>
      </c>
      <c r="B205" s="5" t="s">
        <v>76</v>
      </c>
      <c r="C205" s="5" t="s">
        <v>77</v>
      </c>
      <c r="D205" s="5" t="s">
        <v>36</v>
      </c>
      <c r="E205" s="5" t="s">
        <v>19</v>
      </c>
      <c r="F205" s="5" t="s">
        <v>48</v>
      </c>
      <c r="G205" s="5" t="s">
        <v>51</v>
      </c>
      <c r="H205" s="5">
        <v>32</v>
      </c>
      <c r="I205" s="6">
        <v>1815</v>
      </c>
      <c r="J205" s="6">
        <v>58080</v>
      </c>
      <c r="K205" s="5">
        <v>20</v>
      </c>
      <c r="L205" s="6">
        <v>46464</v>
      </c>
      <c r="M205" s="6">
        <v>30467.95</v>
      </c>
      <c r="N205" s="6">
        <v>15996.05</v>
      </c>
      <c r="O205" s="7">
        <v>34.43</v>
      </c>
      <c r="P205" s="5" t="s">
        <v>29</v>
      </c>
    </row>
    <row r="206" spans="1:16" x14ac:dyDescent="0.3">
      <c r="A206" s="2">
        <v>1226</v>
      </c>
      <c r="B206" s="2" t="s">
        <v>52</v>
      </c>
      <c r="C206" s="2" t="s">
        <v>53</v>
      </c>
      <c r="D206" s="2" t="s">
        <v>25</v>
      </c>
      <c r="E206" s="2" t="s">
        <v>19</v>
      </c>
      <c r="F206" s="2" t="s">
        <v>27</v>
      </c>
      <c r="G206" s="2" t="s">
        <v>85</v>
      </c>
      <c r="H206" s="2">
        <v>27</v>
      </c>
      <c r="I206" s="3">
        <v>12073</v>
      </c>
      <c r="J206" s="3">
        <v>325971</v>
      </c>
      <c r="K206" s="2">
        <v>15</v>
      </c>
      <c r="L206" s="3">
        <v>277075.34999999998</v>
      </c>
      <c r="M206" s="3">
        <v>169840.23</v>
      </c>
      <c r="N206" s="3">
        <v>107235.12</v>
      </c>
      <c r="O206" s="4">
        <v>38.700000000000003</v>
      </c>
      <c r="P206" s="2" t="s">
        <v>41</v>
      </c>
    </row>
    <row r="207" spans="1:16" x14ac:dyDescent="0.3">
      <c r="A207" s="5">
        <v>1687</v>
      </c>
      <c r="B207" s="5" t="s">
        <v>16</v>
      </c>
      <c r="C207" s="5" t="s">
        <v>17</v>
      </c>
      <c r="D207" s="5" t="s">
        <v>18</v>
      </c>
      <c r="E207" s="5" t="s">
        <v>44</v>
      </c>
      <c r="F207" s="5" t="s">
        <v>32</v>
      </c>
      <c r="G207" s="5" t="s">
        <v>75</v>
      </c>
      <c r="H207" s="5">
        <v>95</v>
      </c>
      <c r="I207" s="6">
        <v>11971</v>
      </c>
      <c r="J207" s="6">
        <v>1137245</v>
      </c>
      <c r="K207" s="5">
        <v>15</v>
      </c>
      <c r="L207" s="6">
        <v>966658.25</v>
      </c>
      <c r="M207" s="6">
        <v>595561.22</v>
      </c>
      <c r="N207" s="6">
        <v>371097.03</v>
      </c>
      <c r="O207" s="7">
        <v>38.39</v>
      </c>
      <c r="P207" s="5" t="s">
        <v>29</v>
      </c>
    </row>
    <row r="208" spans="1:16" x14ac:dyDescent="0.3">
      <c r="A208" s="2">
        <v>1340</v>
      </c>
      <c r="B208" s="2" t="s">
        <v>57</v>
      </c>
      <c r="C208" s="2" t="s">
        <v>58</v>
      </c>
      <c r="D208" s="2" t="s">
        <v>56</v>
      </c>
      <c r="E208" s="2" t="s">
        <v>19</v>
      </c>
      <c r="F208" s="2" t="s">
        <v>32</v>
      </c>
      <c r="G208" s="2" t="s">
        <v>65</v>
      </c>
      <c r="H208" s="2">
        <v>93</v>
      </c>
      <c r="I208" s="3">
        <v>5016</v>
      </c>
      <c r="J208" s="3">
        <v>466488</v>
      </c>
      <c r="K208" s="2">
        <v>10</v>
      </c>
      <c r="L208" s="3">
        <v>419839.2</v>
      </c>
      <c r="M208" s="3">
        <v>289565.33</v>
      </c>
      <c r="N208" s="3">
        <v>130273.87</v>
      </c>
      <c r="O208" s="4">
        <v>31.03</v>
      </c>
      <c r="P208" s="2" t="s">
        <v>41</v>
      </c>
    </row>
    <row r="209" spans="1:16" x14ac:dyDescent="0.3">
      <c r="A209" s="5">
        <v>1518</v>
      </c>
      <c r="B209" s="5" t="s">
        <v>73</v>
      </c>
      <c r="C209" s="5" t="s">
        <v>74</v>
      </c>
      <c r="D209" s="5" t="s">
        <v>56</v>
      </c>
      <c r="E209" s="5" t="s">
        <v>26</v>
      </c>
      <c r="F209" s="5" t="s">
        <v>20</v>
      </c>
      <c r="G209" s="5" t="s">
        <v>21</v>
      </c>
      <c r="H209" s="5">
        <v>157</v>
      </c>
      <c r="I209" s="6">
        <v>124</v>
      </c>
      <c r="J209" s="6">
        <v>19468</v>
      </c>
      <c r="K209" s="5">
        <v>5</v>
      </c>
      <c r="L209" s="6">
        <v>18494.599999999999</v>
      </c>
      <c r="M209" s="6">
        <v>10741.98</v>
      </c>
      <c r="N209" s="6">
        <v>7752.62</v>
      </c>
      <c r="O209" s="7">
        <v>41.92</v>
      </c>
      <c r="P209" s="5" t="s">
        <v>45</v>
      </c>
    </row>
    <row r="210" spans="1:16" x14ac:dyDescent="0.3">
      <c r="A210" s="2">
        <v>2026</v>
      </c>
      <c r="B210" s="2" t="s">
        <v>76</v>
      </c>
      <c r="C210" s="2" t="s">
        <v>77</v>
      </c>
      <c r="D210" s="2" t="s">
        <v>36</v>
      </c>
      <c r="E210" s="2" t="s">
        <v>19</v>
      </c>
      <c r="F210" s="2" t="s">
        <v>27</v>
      </c>
      <c r="G210" s="2" t="s">
        <v>85</v>
      </c>
      <c r="H210" s="2">
        <v>114</v>
      </c>
      <c r="I210" s="3">
        <v>11774</v>
      </c>
      <c r="J210" s="3">
        <v>1342236</v>
      </c>
      <c r="K210" s="2">
        <v>0</v>
      </c>
      <c r="L210" s="3">
        <v>1342236</v>
      </c>
      <c r="M210" s="3">
        <v>803838.91</v>
      </c>
      <c r="N210" s="3">
        <v>538397.09</v>
      </c>
      <c r="O210" s="4">
        <v>40.11</v>
      </c>
      <c r="P210" s="2" t="s">
        <v>29</v>
      </c>
    </row>
    <row r="211" spans="1:16" x14ac:dyDescent="0.3">
      <c r="A211" s="5">
        <v>1636</v>
      </c>
      <c r="B211" s="5" t="s">
        <v>16</v>
      </c>
      <c r="C211" s="5" t="s">
        <v>17</v>
      </c>
      <c r="D211" s="5" t="s">
        <v>18</v>
      </c>
      <c r="E211" s="5" t="s">
        <v>19</v>
      </c>
      <c r="F211" s="5" t="s">
        <v>32</v>
      </c>
      <c r="G211" s="5" t="s">
        <v>40</v>
      </c>
      <c r="H211" s="5">
        <v>89</v>
      </c>
      <c r="I211" s="6">
        <v>16676</v>
      </c>
      <c r="J211" s="6">
        <v>1484164</v>
      </c>
      <c r="K211" s="5">
        <v>0</v>
      </c>
      <c r="L211" s="6">
        <v>1484164</v>
      </c>
      <c r="M211" s="6">
        <v>950119.19</v>
      </c>
      <c r="N211" s="6">
        <v>534044.81000000006</v>
      </c>
      <c r="O211" s="7">
        <v>35.979999999999997</v>
      </c>
      <c r="P211" s="5" t="s">
        <v>43</v>
      </c>
    </row>
    <row r="212" spans="1:16" x14ac:dyDescent="0.3">
      <c r="A212" s="2">
        <v>2032</v>
      </c>
      <c r="B212" s="2" t="s">
        <v>76</v>
      </c>
      <c r="C212" s="2" t="s">
        <v>77</v>
      </c>
      <c r="D212" s="2" t="s">
        <v>36</v>
      </c>
      <c r="E212" s="2" t="s">
        <v>19</v>
      </c>
      <c r="F212" s="2" t="s">
        <v>37</v>
      </c>
      <c r="G212" s="2" t="s">
        <v>79</v>
      </c>
      <c r="H212" s="2">
        <v>82</v>
      </c>
      <c r="I212" s="3">
        <v>1103</v>
      </c>
      <c r="J212" s="3">
        <v>90446</v>
      </c>
      <c r="K212" s="2">
        <v>20</v>
      </c>
      <c r="L212" s="3">
        <v>72356.800000000003</v>
      </c>
      <c r="M212" s="3">
        <v>41708.35</v>
      </c>
      <c r="N212" s="3">
        <v>30648.45</v>
      </c>
      <c r="O212" s="4">
        <v>42.36</v>
      </c>
      <c r="P212" s="2" t="s">
        <v>22</v>
      </c>
    </row>
    <row r="213" spans="1:16" x14ac:dyDescent="0.3">
      <c r="A213" s="5">
        <v>1669</v>
      </c>
      <c r="B213" s="5" t="s">
        <v>16</v>
      </c>
      <c r="C213" s="5" t="s">
        <v>17</v>
      </c>
      <c r="D213" s="5" t="s">
        <v>18</v>
      </c>
      <c r="E213" s="5" t="s">
        <v>42</v>
      </c>
      <c r="F213" s="5" t="s">
        <v>20</v>
      </c>
      <c r="G213" s="5" t="s">
        <v>68</v>
      </c>
      <c r="H213" s="5">
        <v>98</v>
      </c>
      <c r="I213" s="6">
        <v>140</v>
      </c>
      <c r="J213" s="6">
        <v>13720</v>
      </c>
      <c r="K213" s="5">
        <v>0</v>
      </c>
      <c r="L213" s="6">
        <v>13720</v>
      </c>
      <c r="M213" s="6">
        <v>8165.7</v>
      </c>
      <c r="N213" s="6">
        <v>5554.3</v>
      </c>
      <c r="O213" s="7">
        <v>40.479999999999997</v>
      </c>
      <c r="P213" s="5" t="s">
        <v>29</v>
      </c>
    </row>
    <row r="214" spans="1:16" x14ac:dyDescent="0.3">
      <c r="A214" s="2">
        <v>1069</v>
      </c>
      <c r="B214" s="2" t="s">
        <v>62</v>
      </c>
      <c r="C214" s="2" t="s">
        <v>63</v>
      </c>
      <c r="D214" s="2" t="s">
        <v>25</v>
      </c>
      <c r="E214" s="2" t="s">
        <v>42</v>
      </c>
      <c r="F214" s="2" t="s">
        <v>20</v>
      </c>
      <c r="G214" s="2" t="s">
        <v>68</v>
      </c>
      <c r="H214" s="2">
        <v>60</v>
      </c>
      <c r="I214" s="3">
        <v>143</v>
      </c>
      <c r="J214" s="3">
        <v>8580</v>
      </c>
      <c r="K214" s="2">
        <v>0</v>
      </c>
      <c r="L214" s="3">
        <v>8580</v>
      </c>
      <c r="M214" s="3">
        <v>5963.39</v>
      </c>
      <c r="N214" s="3">
        <v>2616.61</v>
      </c>
      <c r="O214" s="4">
        <v>30.5</v>
      </c>
      <c r="P214" s="2" t="s">
        <v>50</v>
      </c>
    </row>
    <row r="215" spans="1:16" x14ac:dyDescent="0.3">
      <c r="A215" s="5">
        <v>1259</v>
      </c>
      <c r="B215" s="5" t="s">
        <v>52</v>
      </c>
      <c r="C215" s="5" t="s">
        <v>53</v>
      </c>
      <c r="D215" s="5" t="s">
        <v>25</v>
      </c>
      <c r="E215" s="5" t="s">
        <v>42</v>
      </c>
      <c r="F215" s="5" t="s">
        <v>37</v>
      </c>
      <c r="G215" s="5" t="s">
        <v>82</v>
      </c>
      <c r="H215" s="5">
        <v>98</v>
      </c>
      <c r="I215" s="6">
        <v>1477</v>
      </c>
      <c r="J215" s="6">
        <v>144746</v>
      </c>
      <c r="K215" s="5">
        <v>10</v>
      </c>
      <c r="L215" s="6">
        <v>130271.4</v>
      </c>
      <c r="M215" s="6">
        <v>72005.509999999995</v>
      </c>
      <c r="N215" s="6">
        <v>58265.89</v>
      </c>
      <c r="O215" s="7">
        <v>44.73</v>
      </c>
      <c r="P215" s="5" t="s">
        <v>50</v>
      </c>
    </row>
    <row r="216" spans="1:16" x14ac:dyDescent="0.3">
      <c r="A216" s="2">
        <v>1991</v>
      </c>
      <c r="B216" s="2" t="s">
        <v>34</v>
      </c>
      <c r="C216" s="2" t="s">
        <v>35</v>
      </c>
      <c r="D216" s="2" t="s">
        <v>36</v>
      </c>
      <c r="E216" s="2" t="s">
        <v>44</v>
      </c>
      <c r="F216" s="2" t="s">
        <v>20</v>
      </c>
      <c r="G216" s="2" t="s">
        <v>64</v>
      </c>
      <c r="H216" s="2">
        <v>134</v>
      </c>
      <c r="I216" s="3">
        <v>219</v>
      </c>
      <c r="J216" s="3">
        <v>29346</v>
      </c>
      <c r="K216" s="2">
        <v>0</v>
      </c>
      <c r="L216" s="3">
        <v>29346</v>
      </c>
      <c r="M216" s="3">
        <v>16660.64</v>
      </c>
      <c r="N216" s="3">
        <v>12685.36</v>
      </c>
      <c r="O216" s="4">
        <v>43.23</v>
      </c>
      <c r="P216" s="2" t="s">
        <v>39</v>
      </c>
    </row>
    <row r="217" spans="1:16" x14ac:dyDescent="0.3">
      <c r="A217" s="5">
        <v>2063</v>
      </c>
      <c r="B217" s="5" t="s">
        <v>76</v>
      </c>
      <c r="C217" s="5" t="s">
        <v>77</v>
      </c>
      <c r="D217" s="5" t="s">
        <v>36</v>
      </c>
      <c r="E217" s="5" t="s">
        <v>42</v>
      </c>
      <c r="F217" s="5" t="s">
        <v>32</v>
      </c>
      <c r="G217" s="5" t="s">
        <v>81</v>
      </c>
      <c r="H217" s="5">
        <v>176</v>
      </c>
      <c r="I217" s="6">
        <v>13266</v>
      </c>
      <c r="J217" s="6">
        <v>2334816</v>
      </c>
      <c r="K217" s="5">
        <v>20</v>
      </c>
      <c r="L217" s="6">
        <v>1867852.8</v>
      </c>
      <c r="M217" s="6">
        <v>1230727.96</v>
      </c>
      <c r="N217" s="6">
        <v>637124.84</v>
      </c>
      <c r="O217" s="7">
        <v>34.11</v>
      </c>
      <c r="P217" s="5" t="s">
        <v>61</v>
      </c>
    </row>
    <row r="218" spans="1:16" x14ac:dyDescent="0.3">
      <c r="A218" s="2">
        <v>2162</v>
      </c>
      <c r="B218" s="2" t="s">
        <v>46</v>
      </c>
      <c r="C218" s="2" t="s">
        <v>47</v>
      </c>
      <c r="D218" s="2" t="s">
        <v>36</v>
      </c>
      <c r="E218" s="2" t="s">
        <v>42</v>
      </c>
      <c r="F218" s="2" t="s">
        <v>32</v>
      </c>
      <c r="G218" s="2" t="s">
        <v>75</v>
      </c>
      <c r="H218" s="2">
        <v>219</v>
      </c>
      <c r="I218" s="3">
        <v>11771</v>
      </c>
      <c r="J218" s="3">
        <v>2577849</v>
      </c>
      <c r="K218" s="2">
        <v>20</v>
      </c>
      <c r="L218" s="3">
        <v>2062279.2</v>
      </c>
      <c r="M218" s="3">
        <v>1371988.41</v>
      </c>
      <c r="N218" s="3">
        <v>690290.79</v>
      </c>
      <c r="O218" s="4">
        <v>33.47</v>
      </c>
      <c r="P218" s="2" t="s">
        <v>39</v>
      </c>
    </row>
    <row r="219" spans="1:16" x14ac:dyDescent="0.3">
      <c r="A219" s="5">
        <v>1618</v>
      </c>
      <c r="B219" s="5" t="s">
        <v>16</v>
      </c>
      <c r="C219" s="5" t="s">
        <v>17</v>
      </c>
      <c r="D219" s="5" t="s">
        <v>18</v>
      </c>
      <c r="E219" s="5" t="s">
        <v>26</v>
      </c>
      <c r="F219" s="5" t="s">
        <v>20</v>
      </c>
      <c r="G219" s="5" t="s">
        <v>21</v>
      </c>
      <c r="H219" s="5">
        <v>49</v>
      </c>
      <c r="I219" s="6">
        <v>122</v>
      </c>
      <c r="J219" s="6">
        <v>5978</v>
      </c>
      <c r="K219" s="5">
        <v>0</v>
      </c>
      <c r="L219" s="6">
        <v>5978</v>
      </c>
      <c r="M219" s="6">
        <v>4117.28</v>
      </c>
      <c r="N219" s="6">
        <v>1860.72</v>
      </c>
      <c r="O219" s="7">
        <v>31.13</v>
      </c>
      <c r="P219" s="5" t="s">
        <v>29</v>
      </c>
    </row>
    <row r="220" spans="1:16" x14ac:dyDescent="0.3">
      <c r="A220" s="2">
        <v>1989</v>
      </c>
      <c r="B220" s="2" t="s">
        <v>34</v>
      </c>
      <c r="C220" s="2" t="s">
        <v>35</v>
      </c>
      <c r="D220" s="2" t="s">
        <v>36</v>
      </c>
      <c r="E220" s="2" t="s">
        <v>44</v>
      </c>
      <c r="F220" s="2" t="s">
        <v>32</v>
      </c>
      <c r="G220" s="2" t="s">
        <v>33</v>
      </c>
      <c r="H220" s="2">
        <v>64</v>
      </c>
      <c r="I220" s="3">
        <v>10150</v>
      </c>
      <c r="J220" s="3">
        <v>649600</v>
      </c>
      <c r="K220" s="2">
        <v>10</v>
      </c>
      <c r="L220" s="3">
        <v>584640</v>
      </c>
      <c r="M220" s="3">
        <v>402855.43</v>
      </c>
      <c r="N220" s="3">
        <v>181784.57</v>
      </c>
      <c r="O220" s="4">
        <v>31.09</v>
      </c>
      <c r="P220" s="2" t="s">
        <v>39</v>
      </c>
    </row>
    <row r="221" spans="1:16" x14ac:dyDescent="0.3">
      <c r="A221" s="5">
        <v>1711</v>
      </c>
      <c r="B221" s="5" t="s">
        <v>30</v>
      </c>
      <c r="C221" s="5" t="s">
        <v>31</v>
      </c>
      <c r="D221" s="5" t="s">
        <v>18</v>
      </c>
      <c r="E221" s="5" t="s">
        <v>26</v>
      </c>
      <c r="F221" s="5" t="s">
        <v>32</v>
      </c>
      <c r="G221" s="5" t="s">
        <v>40</v>
      </c>
      <c r="H221" s="5">
        <v>156</v>
      </c>
      <c r="I221" s="6">
        <v>18172</v>
      </c>
      <c r="J221" s="6">
        <v>2834832</v>
      </c>
      <c r="K221" s="5">
        <v>10</v>
      </c>
      <c r="L221" s="6">
        <v>2551348.7999999998</v>
      </c>
      <c r="M221" s="6">
        <v>1675677.81</v>
      </c>
      <c r="N221" s="6">
        <v>875670.99</v>
      </c>
      <c r="O221" s="7">
        <v>34.32</v>
      </c>
      <c r="P221" s="5" t="s">
        <v>45</v>
      </c>
    </row>
    <row r="222" spans="1:16" x14ac:dyDescent="0.3">
      <c r="A222" s="2">
        <v>1546</v>
      </c>
      <c r="B222" s="2" t="s">
        <v>73</v>
      </c>
      <c r="C222" s="2" t="s">
        <v>74</v>
      </c>
      <c r="D222" s="2" t="s">
        <v>56</v>
      </c>
      <c r="E222" s="2" t="s">
        <v>19</v>
      </c>
      <c r="F222" s="2" t="s">
        <v>48</v>
      </c>
      <c r="G222" s="2" t="s">
        <v>69</v>
      </c>
      <c r="H222" s="2">
        <v>24</v>
      </c>
      <c r="I222" s="3">
        <v>1210</v>
      </c>
      <c r="J222" s="3">
        <v>29040</v>
      </c>
      <c r="K222" s="2">
        <v>0</v>
      </c>
      <c r="L222" s="3">
        <v>29040</v>
      </c>
      <c r="M222" s="3">
        <v>20114.509999999998</v>
      </c>
      <c r="N222" s="3">
        <v>8925.49</v>
      </c>
      <c r="O222" s="4">
        <v>30.74</v>
      </c>
      <c r="P222" s="2" t="s">
        <v>43</v>
      </c>
    </row>
    <row r="223" spans="1:16" x14ac:dyDescent="0.3">
      <c r="A223" s="5">
        <v>1063</v>
      </c>
      <c r="B223" s="5" t="s">
        <v>62</v>
      </c>
      <c r="C223" s="5" t="s">
        <v>63</v>
      </c>
      <c r="D223" s="5" t="s">
        <v>25</v>
      </c>
      <c r="E223" s="5" t="s">
        <v>42</v>
      </c>
      <c r="F223" s="5" t="s">
        <v>32</v>
      </c>
      <c r="G223" s="5" t="s">
        <v>81</v>
      </c>
      <c r="H223" s="5">
        <v>91</v>
      </c>
      <c r="I223" s="6">
        <v>14467</v>
      </c>
      <c r="J223" s="6">
        <v>1316497</v>
      </c>
      <c r="K223" s="5">
        <v>10</v>
      </c>
      <c r="L223" s="6">
        <v>1184847.3</v>
      </c>
      <c r="M223" s="6">
        <v>790313.81</v>
      </c>
      <c r="N223" s="6">
        <v>394533.49</v>
      </c>
      <c r="O223" s="7">
        <v>33.299999999999997</v>
      </c>
      <c r="P223" s="5" t="s">
        <v>22</v>
      </c>
    </row>
    <row r="224" spans="1:16" x14ac:dyDescent="0.3">
      <c r="A224" s="2">
        <v>1002</v>
      </c>
      <c r="B224" s="2" t="s">
        <v>62</v>
      </c>
      <c r="C224" s="2" t="s">
        <v>63</v>
      </c>
      <c r="D224" s="2" t="s">
        <v>25</v>
      </c>
      <c r="E224" s="2" t="s">
        <v>26</v>
      </c>
      <c r="F224" s="2" t="s">
        <v>27</v>
      </c>
      <c r="G224" s="2" t="s">
        <v>28</v>
      </c>
      <c r="H224" s="2">
        <v>95</v>
      </c>
      <c r="I224" s="3">
        <v>8627</v>
      </c>
      <c r="J224" s="3">
        <v>819565</v>
      </c>
      <c r="K224" s="2">
        <v>0</v>
      </c>
      <c r="L224" s="3">
        <v>819565</v>
      </c>
      <c r="M224" s="3">
        <v>523352.8</v>
      </c>
      <c r="N224" s="3">
        <v>296212.2</v>
      </c>
      <c r="O224" s="4">
        <v>36.14</v>
      </c>
      <c r="P224" s="2" t="s">
        <v>43</v>
      </c>
    </row>
    <row r="225" spans="1:16" x14ac:dyDescent="0.3">
      <c r="A225" s="5">
        <v>1229</v>
      </c>
      <c r="B225" s="5" t="s">
        <v>52</v>
      </c>
      <c r="C225" s="5" t="s">
        <v>53</v>
      </c>
      <c r="D225" s="5" t="s">
        <v>25</v>
      </c>
      <c r="E225" s="5" t="s">
        <v>19</v>
      </c>
      <c r="F225" s="5" t="s">
        <v>27</v>
      </c>
      <c r="G225" s="5" t="s">
        <v>66</v>
      </c>
      <c r="H225" s="5">
        <v>66</v>
      </c>
      <c r="I225" s="6">
        <v>788</v>
      </c>
      <c r="J225" s="6">
        <v>52008</v>
      </c>
      <c r="K225" s="5">
        <v>20</v>
      </c>
      <c r="L225" s="6">
        <v>41606.400000000001</v>
      </c>
      <c r="M225" s="6">
        <v>25468.42</v>
      </c>
      <c r="N225" s="6">
        <v>16137.98</v>
      </c>
      <c r="O225" s="7">
        <v>38.79</v>
      </c>
      <c r="P225" s="5" t="s">
        <v>45</v>
      </c>
    </row>
    <row r="226" spans="1:16" x14ac:dyDescent="0.3">
      <c r="A226" s="2">
        <v>1961</v>
      </c>
      <c r="B226" s="2" t="s">
        <v>34</v>
      </c>
      <c r="C226" s="2" t="s">
        <v>35</v>
      </c>
      <c r="D226" s="2" t="s">
        <v>36</v>
      </c>
      <c r="E226" s="2" t="s">
        <v>42</v>
      </c>
      <c r="F226" s="2" t="s">
        <v>32</v>
      </c>
      <c r="G226" s="2" t="s">
        <v>40</v>
      </c>
      <c r="H226" s="2">
        <v>137</v>
      </c>
      <c r="I226" s="3">
        <v>19320</v>
      </c>
      <c r="J226" s="3">
        <v>2646840</v>
      </c>
      <c r="K226" s="2">
        <v>5</v>
      </c>
      <c r="L226" s="3">
        <v>2514498</v>
      </c>
      <c r="M226" s="3">
        <v>1544237.09</v>
      </c>
      <c r="N226" s="3">
        <v>970260.91</v>
      </c>
      <c r="O226" s="4">
        <v>38.590000000000003</v>
      </c>
      <c r="P226" s="2" t="s">
        <v>43</v>
      </c>
    </row>
    <row r="227" spans="1:16" x14ac:dyDescent="0.3">
      <c r="A227" s="5">
        <v>1686</v>
      </c>
      <c r="B227" s="5" t="s">
        <v>16</v>
      </c>
      <c r="C227" s="5" t="s">
        <v>17</v>
      </c>
      <c r="D227" s="5" t="s">
        <v>18</v>
      </c>
      <c r="E227" s="5" t="s">
        <v>44</v>
      </c>
      <c r="F227" s="5" t="s">
        <v>32</v>
      </c>
      <c r="G227" s="5" t="s">
        <v>40</v>
      </c>
      <c r="H227" s="5">
        <v>50</v>
      </c>
      <c r="I227" s="6">
        <v>17567</v>
      </c>
      <c r="J227" s="6">
        <v>878350</v>
      </c>
      <c r="K227" s="5">
        <v>10</v>
      </c>
      <c r="L227" s="6">
        <v>790515</v>
      </c>
      <c r="M227" s="6">
        <v>507276.45</v>
      </c>
      <c r="N227" s="6">
        <v>283238.55</v>
      </c>
      <c r="O227" s="7">
        <v>35.83</v>
      </c>
      <c r="P227" s="5" t="s">
        <v>61</v>
      </c>
    </row>
    <row r="228" spans="1:16" x14ac:dyDescent="0.3">
      <c r="A228" s="2">
        <v>1545</v>
      </c>
      <c r="B228" s="2" t="s">
        <v>73</v>
      </c>
      <c r="C228" s="2" t="s">
        <v>74</v>
      </c>
      <c r="D228" s="2" t="s">
        <v>56</v>
      </c>
      <c r="E228" s="2" t="s">
        <v>19</v>
      </c>
      <c r="F228" s="2" t="s">
        <v>20</v>
      </c>
      <c r="G228" s="2" t="s">
        <v>60</v>
      </c>
      <c r="H228" s="2">
        <v>156</v>
      </c>
      <c r="I228" s="3">
        <v>95</v>
      </c>
      <c r="J228" s="3">
        <v>14820</v>
      </c>
      <c r="K228" s="2">
        <v>5</v>
      </c>
      <c r="L228" s="3">
        <v>14079</v>
      </c>
      <c r="M228" s="3">
        <v>8061.42</v>
      </c>
      <c r="N228" s="3">
        <v>6017.58</v>
      </c>
      <c r="O228" s="4">
        <v>42.74</v>
      </c>
      <c r="P228" s="2" t="s">
        <v>22</v>
      </c>
    </row>
    <row r="229" spans="1:16" x14ac:dyDescent="0.3">
      <c r="A229" s="5">
        <v>1359</v>
      </c>
      <c r="B229" s="5" t="s">
        <v>57</v>
      </c>
      <c r="C229" s="5" t="s">
        <v>58</v>
      </c>
      <c r="D229" s="5" t="s">
        <v>56</v>
      </c>
      <c r="E229" s="5" t="s">
        <v>42</v>
      </c>
      <c r="F229" s="5" t="s">
        <v>37</v>
      </c>
      <c r="G229" s="5" t="s">
        <v>82</v>
      </c>
      <c r="H229" s="5">
        <v>108</v>
      </c>
      <c r="I229" s="6">
        <v>1366</v>
      </c>
      <c r="J229" s="6">
        <v>147528</v>
      </c>
      <c r="K229" s="5">
        <v>15</v>
      </c>
      <c r="L229" s="6">
        <v>125398.8</v>
      </c>
      <c r="M229" s="6">
        <v>75182.100000000006</v>
      </c>
      <c r="N229" s="6">
        <v>50216.7</v>
      </c>
      <c r="O229" s="7">
        <v>40.049999999999997</v>
      </c>
      <c r="P229" s="5" t="s">
        <v>39</v>
      </c>
    </row>
    <row r="230" spans="1:16" x14ac:dyDescent="0.3">
      <c r="A230" s="2">
        <v>1580</v>
      </c>
      <c r="B230" s="2" t="s">
        <v>73</v>
      </c>
      <c r="C230" s="2" t="s">
        <v>74</v>
      </c>
      <c r="D230" s="2" t="s">
        <v>56</v>
      </c>
      <c r="E230" s="2" t="s">
        <v>44</v>
      </c>
      <c r="F230" s="2" t="s">
        <v>27</v>
      </c>
      <c r="G230" s="2" t="s">
        <v>84</v>
      </c>
      <c r="H230" s="2">
        <v>92</v>
      </c>
      <c r="I230" s="3">
        <v>13771</v>
      </c>
      <c r="J230" s="3">
        <v>1266932</v>
      </c>
      <c r="K230" s="2">
        <v>5</v>
      </c>
      <c r="L230" s="3">
        <v>1203585.3999999999</v>
      </c>
      <c r="M230" s="3">
        <v>770594.85</v>
      </c>
      <c r="N230" s="3">
        <v>432990.55</v>
      </c>
      <c r="O230" s="4">
        <v>35.979999999999997</v>
      </c>
      <c r="P230" s="2" t="s">
        <v>43</v>
      </c>
    </row>
    <row r="231" spans="1:16" x14ac:dyDescent="0.3">
      <c r="A231" s="5">
        <v>2011</v>
      </c>
      <c r="B231" s="5" t="s">
        <v>76</v>
      </c>
      <c r="C231" s="5" t="s">
        <v>77</v>
      </c>
      <c r="D231" s="5" t="s">
        <v>36</v>
      </c>
      <c r="E231" s="5" t="s">
        <v>26</v>
      </c>
      <c r="F231" s="5" t="s">
        <v>32</v>
      </c>
      <c r="G231" s="5" t="s">
        <v>40</v>
      </c>
      <c r="H231" s="5">
        <v>51</v>
      </c>
      <c r="I231" s="6">
        <v>18958</v>
      </c>
      <c r="J231" s="6">
        <v>966858</v>
      </c>
      <c r="K231" s="5">
        <v>5</v>
      </c>
      <c r="L231" s="6">
        <v>918515.1</v>
      </c>
      <c r="M231" s="6">
        <v>508280.57</v>
      </c>
      <c r="N231" s="6">
        <v>410234.53</v>
      </c>
      <c r="O231" s="7">
        <v>44.66</v>
      </c>
      <c r="P231" s="5" t="s">
        <v>50</v>
      </c>
    </row>
    <row r="232" spans="1:16" x14ac:dyDescent="0.3">
      <c r="A232" s="2">
        <v>2081</v>
      </c>
      <c r="B232" s="2" t="s">
        <v>76</v>
      </c>
      <c r="C232" s="2" t="s">
        <v>77</v>
      </c>
      <c r="D232" s="2" t="s">
        <v>36</v>
      </c>
      <c r="E232" s="2" t="s">
        <v>44</v>
      </c>
      <c r="F232" s="2" t="s">
        <v>37</v>
      </c>
      <c r="G232" s="2" t="s">
        <v>59</v>
      </c>
      <c r="H232" s="2">
        <v>206</v>
      </c>
      <c r="I232" s="3">
        <v>470</v>
      </c>
      <c r="J232" s="3">
        <v>96820</v>
      </c>
      <c r="K232" s="2">
        <v>15</v>
      </c>
      <c r="L232" s="3">
        <v>82297</v>
      </c>
      <c r="M232" s="3">
        <v>47466.14</v>
      </c>
      <c r="N232" s="3">
        <v>34830.86</v>
      </c>
      <c r="O232" s="4">
        <v>42.32</v>
      </c>
      <c r="P232" s="2" t="s">
        <v>39</v>
      </c>
    </row>
    <row r="233" spans="1:16" x14ac:dyDescent="0.3">
      <c r="A233" s="5">
        <v>1210</v>
      </c>
      <c r="B233" s="5" t="s">
        <v>52</v>
      </c>
      <c r="C233" s="5" t="s">
        <v>53</v>
      </c>
      <c r="D233" s="5" t="s">
        <v>25</v>
      </c>
      <c r="E233" s="5" t="s">
        <v>26</v>
      </c>
      <c r="F233" s="5" t="s">
        <v>37</v>
      </c>
      <c r="G233" s="5" t="s">
        <v>67</v>
      </c>
      <c r="H233" s="5">
        <v>82</v>
      </c>
      <c r="I233" s="6">
        <v>1947</v>
      </c>
      <c r="J233" s="6">
        <v>159654</v>
      </c>
      <c r="K233" s="5">
        <v>0</v>
      </c>
      <c r="L233" s="6">
        <v>159654</v>
      </c>
      <c r="M233" s="6">
        <v>109345.43</v>
      </c>
      <c r="N233" s="6">
        <v>50308.57</v>
      </c>
      <c r="O233" s="7">
        <v>31.51</v>
      </c>
      <c r="P233" s="5" t="s">
        <v>41</v>
      </c>
    </row>
    <row r="234" spans="1:16" x14ac:dyDescent="0.3">
      <c r="A234" s="2">
        <v>1257</v>
      </c>
      <c r="B234" s="2" t="s">
        <v>52</v>
      </c>
      <c r="C234" s="2" t="s">
        <v>53</v>
      </c>
      <c r="D234" s="2" t="s">
        <v>25</v>
      </c>
      <c r="E234" s="2" t="s">
        <v>42</v>
      </c>
      <c r="F234" s="2" t="s">
        <v>37</v>
      </c>
      <c r="G234" s="2" t="s">
        <v>79</v>
      </c>
      <c r="H234" s="2">
        <v>137</v>
      </c>
      <c r="I234" s="3">
        <v>1248</v>
      </c>
      <c r="J234" s="3">
        <v>170976</v>
      </c>
      <c r="K234" s="2">
        <v>15</v>
      </c>
      <c r="L234" s="3">
        <v>145329.60000000001</v>
      </c>
      <c r="M234" s="3">
        <v>82742.350000000006</v>
      </c>
      <c r="N234" s="3">
        <v>62587.25</v>
      </c>
      <c r="O234" s="4">
        <v>43.07</v>
      </c>
      <c r="P234" s="2" t="s">
        <v>29</v>
      </c>
    </row>
    <row r="235" spans="1:16" x14ac:dyDescent="0.3">
      <c r="A235" s="5">
        <v>2060</v>
      </c>
      <c r="B235" s="5" t="s">
        <v>76</v>
      </c>
      <c r="C235" s="5" t="s">
        <v>77</v>
      </c>
      <c r="D235" s="5" t="s">
        <v>36</v>
      </c>
      <c r="E235" s="5" t="s">
        <v>42</v>
      </c>
      <c r="F235" s="5" t="s">
        <v>37</v>
      </c>
      <c r="G235" s="5" t="s">
        <v>67</v>
      </c>
      <c r="H235" s="5">
        <v>155</v>
      </c>
      <c r="I235" s="6">
        <v>1753</v>
      </c>
      <c r="J235" s="6">
        <v>271715</v>
      </c>
      <c r="K235" s="5">
        <v>0</v>
      </c>
      <c r="L235" s="6">
        <v>271715</v>
      </c>
      <c r="M235" s="6">
        <v>160091.19</v>
      </c>
      <c r="N235" s="6">
        <v>111623.81</v>
      </c>
      <c r="O235" s="7">
        <v>41.08</v>
      </c>
      <c r="P235" s="5" t="s">
        <v>45</v>
      </c>
    </row>
    <row r="236" spans="1:16" x14ac:dyDescent="0.3">
      <c r="A236" s="2">
        <v>1166</v>
      </c>
      <c r="B236" s="2" t="s">
        <v>23</v>
      </c>
      <c r="C236" s="2" t="s">
        <v>24</v>
      </c>
      <c r="D236" s="2" t="s">
        <v>25</v>
      </c>
      <c r="E236" s="2" t="s">
        <v>42</v>
      </c>
      <c r="F236" s="2" t="s">
        <v>20</v>
      </c>
      <c r="G236" s="2" t="s">
        <v>64</v>
      </c>
      <c r="H236" s="2">
        <v>118</v>
      </c>
      <c r="I236" s="3">
        <v>219</v>
      </c>
      <c r="J236" s="3">
        <v>25842</v>
      </c>
      <c r="K236" s="2">
        <v>0</v>
      </c>
      <c r="L236" s="3">
        <v>25842</v>
      </c>
      <c r="M236" s="3">
        <v>16032.99</v>
      </c>
      <c r="N236" s="3">
        <v>9809.01</v>
      </c>
      <c r="O236" s="4">
        <v>37.96</v>
      </c>
      <c r="P236" s="2" t="s">
        <v>50</v>
      </c>
    </row>
    <row r="237" spans="1:16" x14ac:dyDescent="0.3">
      <c r="A237" s="5">
        <v>1988</v>
      </c>
      <c r="B237" s="5" t="s">
        <v>34</v>
      </c>
      <c r="C237" s="5" t="s">
        <v>35</v>
      </c>
      <c r="D237" s="5" t="s">
        <v>36</v>
      </c>
      <c r="E237" s="5" t="s">
        <v>44</v>
      </c>
      <c r="F237" s="5" t="s">
        <v>32</v>
      </c>
      <c r="G237" s="5" t="s">
        <v>81</v>
      </c>
      <c r="H237" s="5">
        <v>99</v>
      </c>
      <c r="I237" s="6">
        <v>14528</v>
      </c>
      <c r="J237" s="6">
        <v>1438272</v>
      </c>
      <c r="K237" s="5">
        <v>5</v>
      </c>
      <c r="L237" s="6">
        <v>1366358.4</v>
      </c>
      <c r="M237" s="6">
        <v>839023.36</v>
      </c>
      <c r="N237" s="6">
        <v>527335.04</v>
      </c>
      <c r="O237" s="7">
        <v>38.590000000000003</v>
      </c>
      <c r="P237" s="5" t="s">
        <v>41</v>
      </c>
    </row>
    <row r="238" spans="1:16" x14ac:dyDescent="0.3">
      <c r="A238" s="2">
        <v>2000</v>
      </c>
      <c r="B238" s="2" t="s">
        <v>34</v>
      </c>
      <c r="C238" s="2" t="s">
        <v>35</v>
      </c>
      <c r="D238" s="2" t="s">
        <v>36</v>
      </c>
      <c r="E238" s="2" t="s">
        <v>44</v>
      </c>
      <c r="F238" s="2" t="s">
        <v>48</v>
      </c>
      <c r="G238" s="2" t="s">
        <v>72</v>
      </c>
      <c r="H238" s="2">
        <v>110</v>
      </c>
      <c r="I238" s="3">
        <v>3163</v>
      </c>
      <c r="J238" s="3">
        <v>347930</v>
      </c>
      <c r="K238" s="2">
        <v>10</v>
      </c>
      <c r="L238" s="3">
        <v>313137</v>
      </c>
      <c r="M238" s="3">
        <v>209779.96</v>
      </c>
      <c r="N238" s="3">
        <v>103357.04</v>
      </c>
      <c r="O238" s="4">
        <v>33.01</v>
      </c>
      <c r="P238" s="2" t="s">
        <v>41</v>
      </c>
    </row>
    <row r="239" spans="1:16" x14ac:dyDescent="0.3">
      <c r="A239" s="5">
        <v>1713</v>
      </c>
      <c r="B239" s="5" t="s">
        <v>30</v>
      </c>
      <c r="C239" s="5" t="s">
        <v>31</v>
      </c>
      <c r="D239" s="5" t="s">
        <v>18</v>
      </c>
      <c r="E239" s="5" t="s">
        <v>26</v>
      </c>
      <c r="F239" s="5" t="s">
        <v>32</v>
      </c>
      <c r="G239" s="5" t="s">
        <v>81</v>
      </c>
      <c r="H239" s="5">
        <v>178</v>
      </c>
      <c r="I239" s="6">
        <v>14420</v>
      </c>
      <c r="J239" s="6">
        <v>2566760</v>
      </c>
      <c r="K239" s="5">
        <v>0</v>
      </c>
      <c r="L239" s="6">
        <v>2566760</v>
      </c>
      <c r="M239" s="6">
        <v>1605724.03</v>
      </c>
      <c r="N239" s="6">
        <v>961035.97</v>
      </c>
      <c r="O239" s="7">
        <v>37.44</v>
      </c>
      <c r="P239" s="5" t="s">
        <v>41</v>
      </c>
    </row>
    <row r="240" spans="1:16" x14ac:dyDescent="0.3">
      <c r="A240" s="2">
        <v>1632</v>
      </c>
      <c r="B240" s="2" t="s">
        <v>16</v>
      </c>
      <c r="C240" s="2" t="s">
        <v>17</v>
      </c>
      <c r="D240" s="2" t="s">
        <v>18</v>
      </c>
      <c r="E240" s="2" t="s">
        <v>19</v>
      </c>
      <c r="F240" s="2" t="s">
        <v>37</v>
      </c>
      <c r="G240" s="2" t="s">
        <v>79</v>
      </c>
      <c r="H240" s="2">
        <v>158</v>
      </c>
      <c r="I240" s="3">
        <v>1194</v>
      </c>
      <c r="J240" s="3">
        <v>188652</v>
      </c>
      <c r="K240" s="2">
        <v>10</v>
      </c>
      <c r="L240" s="3">
        <v>169786.8</v>
      </c>
      <c r="M240" s="3">
        <v>102150.08</v>
      </c>
      <c r="N240" s="3">
        <v>67636.72</v>
      </c>
      <c r="O240" s="4">
        <v>39.840000000000003</v>
      </c>
      <c r="P240" s="2" t="s">
        <v>50</v>
      </c>
    </row>
    <row r="241" spans="1:16" x14ac:dyDescent="0.3">
      <c r="A241" s="5">
        <v>1830</v>
      </c>
      <c r="B241" s="5" t="s">
        <v>70</v>
      </c>
      <c r="C241" s="5" t="s">
        <v>71</v>
      </c>
      <c r="D241" s="5" t="s">
        <v>18</v>
      </c>
      <c r="E241" s="5" t="s">
        <v>19</v>
      </c>
      <c r="F241" s="5" t="s">
        <v>27</v>
      </c>
      <c r="G241" s="5" t="s">
        <v>84</v>
      </c>
      <c r="H241" s="5">
        <v>69</v>
      </c>
      <c r="I241" s="6">
        <v>13802</v>
      </c>
      <c r="J241" s="6">
        <v>952338</v>
      </c>
      <c r="K241" s="5">
        <v>10</v>
      </c>
      <c r="L241" s="6">
        <v>857104.2</v>
      </c>
      <c r="M241" s="6">
        <v>550189.51</v>
      </c>
      <c r="N241" s="6">
        <v>306914.69</v>
      </c>
      <c r="O241" s="7">
        <v>35.81</v>
      </c>
      <c r="P241" s="5" t="s">
        <v>50</v>
      </c>
    </row>
    <row r="242" spans="1:16" x14ac:dyDescent="0.3">
      <c r="A242" s="2">
        <v>2024</v>
      </c>
      <c r="B242" s="2" t="s">
        <v>76</v>
      </c>
      <c r="C242" s="2" t="s">
        <v>77</v>
      </c>
      <c r="D242" s="2" t="s">
        <v>36</v>
      </c>
      <c r="E242" s="2" t="s">
        <v>26</v>
      </c>
      <c r="F242" s="2" t="s">
        <v>48</v>
      </c>
      <c r="G242" s="2" t="s">
        <v>51</v>
      </c>
      <c r="H242" s="2">
        <v>121</v>
      </c>
      <c r="I242" s="3">
        <v>1812</v>
      </c>
      <c r="J242" s="3">
        <v>219252</v>
      </c>
      <c r="K242" s="2">
        <v>20</v>
      </c>
      <c r="L242" s="3">
        <v>175401.60000000001</v>
      </c>
      <c r="M242" s="3">
        <v>99440.97</v>
      </c>
      <c r="N242" s="3">
        <v>75960.63</v>
      </c>
      <c r="O242" s="4">
        <v>43.31</v>
      </c>
      <c r="P242" s="2" t="s">
        <v>39</v>
      </c>
    </row>
    <row r="243" spans="1:16" x14ac:dyDescent="0.3">
      <c r="A243" s="5">
        <v>1746</v>
      </c>
      <c r="B243" s="5" t="s">
        <v>30</v>
      </c>
      <c r="C243" s="5" t="s">
        <v>31</v>
      </c>
      <c r="D243" s="5" t="s">
        <v>18</v>
      </c>
      <c r="E243" s="5" t="s">
        <v>19</v>
      </c>
      <c r="F243" s="5" t="s">
        <v>48</v>
      </c>
      <c r="G243" s="5" t="s">
        <v>69</v>
      </c>
      <c r="H243" s="5">
        <v>72</v>
      </c>
      <c r="I243" s="6">
        <v>1277</v>
      </c>
      <c r="J243" s="6">
        <v>91944</v>
      </c>
      <c r="K243" s="5">
        <v>0</v>
      </c>
      <c r="L243" s="6">
        <v>91944</v>
      </c>
      <c r="M243" s="6">
        <v>57106.25</v>
      </c>
      <c r="N243" s="6">
        <v>34837.75</v>
      </c>
      <c r="O243" s="7">
        <v>37.89</v>
      </c>
      <c r="P243" s="5" t="s">
        <v>45</v>
      </c>
    </row>
    <row r="244" spans="1:16" x14ac:dyDescent="0.3">
      <c r="A244" s="2">
        <v>1904</v>
      </c>
      <c r="B244" s="2" t="s">
        <v>34</v>
      </c>
      <c r="C244" s="2" t="s">
        <v>35</v>
      </c>
      <c r="D244" s="2" t="s">
        <v>36</v>
      </c>
      <c r="E244" s="2" t="s">
        <v>26</v>
      </c>
      <c r="F244" s="2" t="s">
        <v>27</v>
      </c>
      <c r="G244" s="2" t="s">
        <v>66</v>
      </c>
      <c r="H244" s="2">
        <v>122</v>
      </c>
      <c r="I244" s="3">
        <v>809</v>
      </c>
      <c r="J244" s="3">
        <v>98698</v>
      </c>
      <c r="K244" s="2">
        <v>0</v>
      </c>
      <c r="L244" s="3">
        <v>98698</v>
      </c>
      <c r="M244" s="3">
        <v>65628.5</v>
      </c>
      <c r="N244" s="3">
        <v>33069.5</v>
      </c>
      <c r="O244" s="4">
        <v>33.51</v>
      </c>
      <c r="P244" s="2" t="s">
        <v>41</v>
      </c>
    </row>
    <row r="245" spans="1:16" x14ac:dyDescent="0.3">
      <c r="A245" s="5">
        <v>1456</v>
      </c>
      <c r="B245" s="5" t="s">
        <v>54</v>
      </c>
      <c r="C245" s="5" t="s">
        <v>55</v>
      </c>
      <c r="D245" s="5" t="s">
        <v>56</v>
      </c>
      <c r="E245" s="5" t="s">
        <v>42</v>
      </c>
      <c r="F245" s="5" t="s">
        <v>37</v>
      </c>
      <c r="G245" s="5" t="s">
        <v>59</v>
      </c>
      <c r="H245" s="5">
        <v>139</v>
      </c>
      <c r="I245" s="6">
        <v>530</v>
      </c>
      <c r="J245" s="6">
        <v>73670</v>
      </c>
      <c r="K245" s="5">
        <v>15</v>
      </c>
      <c r="L245" s="6">
        <v>62619.5</v>
      </c>
      <c r="M245" s="6">
        <v>40761.949999999997</v>
      </c>
      <c r="N245" s="6">
        <v>21857.55</v>
      </c>
      <c r="O245" s="7">
        <v>34.909999999999997</v>
      </c>
      <c r="P245" s="5" t="s">
        <v>61</v>
      </c>
    </row>
    <row r="246" spans="1:16" x14ac:dyDescent="0.3">
      <c r="A246" s="2">
        <v>1397</v>
      </c>
      <c r="B246" s="2" t="s">
        <v>57</v>
      </c>
      <c r="C246" s="2" t="s">
        <v>58</v>
      </c>
      <c r="D246" s="2" t="s">
        <v>56</v>
      </c>
      <c r="E246" s="2" t="s">
        <v>44</v>
      </c>
      <c r="F246" s="2" t="s">
        <v>48</v>
      </c>
      <c r="G246" s="2" t="s">
        <v>78</v>
      </c>
      <c r="H246" s="2">
        <v>95</v>
      </c>
      <c r="I246" s="3">
        <v>633</v>
      </c>
      <c r="J246" s="3">
        <v>60135</v>
      </c>
      <c r="K246" s="2">
        <v>10</v>
      </c>
      <c r="L246" s="3">
        <v>54121.5</v>
      </c>
      <c r="M246" s="3">
        <v>31690.07</v>
      </c>
      <c r="N246" s="3">
        <v>22431.43</v>
      </c>
      <c r="O246" s="4">
        <v>41.45</v>
      </c>
      <c r="P246" s="2" t="s">
        <v>61</v>
      </c>
    </row>
    <row r="247" spans="1:16" x14ac:dyDescent="0.3">
      <c r="A247" s="5">
        <v>1777</v>
      </c>
      <c r="B247" s="5" t="s">
        <v>30</v>
      </c>
      <c r="C247" s="5" t="s">
        <v>31</v>
      </c>
      <c r="D247" s="5" t="s">
        <v>18</v>
      </c>
      <c r="E247" s="5" t="s">
        <v>44</v>
      </c>
      <c r="F247" s="5" t="s">
        <v>27</v>
      </c>
      <c r="G247" s="5" t="s">
        <v>28</v>
      </c>
      <c r="H247" s="5">
        <v>44</v>
      </c>
      <c r="I247" s="6">
        <v>8163</v>
      </c>
      <c r="J247" s="6">
        <v>359172</v>
      </c>
      <c r="K247" s="5">
        <v>0</v>
      </c>
      <c r="L247" s="6">
        <v>359172</v>
      </c>
      <c r="M247" s="6">
        <v>233162.41</v>
      </c>
      <c r="N247" s="6">
        <v>126009.59</v>
      </c>
      <c r="O247" s="7">
        <v>35.08</v>
      </c>
      <c r="P247" s="5" t="s">
        <v>22</v>
      </c>
    </row>
    <row r="248" spans="1:16" x14ac:dyDescent="0.3">
      <c r="A248" s="2">
        <v>1528</v>
      </c>
      <c r="B248" s="2" t="s">
        <v>73</v>
      </c>
      <c r="C248" s="2" t="s">
        <v>74</v>
      </c>
      <c r="D248" s="2" t="s">
        <v>56</v>
      </c>
      <c r="E248" s="2" t="s">
        <v>19</v>
      </c>
      <c r="F248" s="2" t="s">
        <v>27</v>
      </c>
      <c r="G248" s="2" t="s">
        <v>83</v>
      </c>
      <c r="H248" s="2">
        <v>100</v>
      </c>
      <c r="I248" s="3">
        <v>5263</v>
      </c>
      <c r="J248" s="3">
        <v>526300</v>
      </c>
      <c r="K248" s="2">
        <v>0</v>
      </c>
      <c r="L248" s="3">
        <v>526300</v>
      </c>
      <c r="M248" s="3">
        <v>313951.33</v>
      </c>
      <c r="N248" s="3">
        <v>212348.67</v>
      </c>
      <c r="O248" s="4">
        <v>40.35</v>
      </c>
      <c r="P248" s="2" t="s">
        <v>22</v>
      </c>
    </row>
    <row r="249" spans="1:16" x14ac:dyDescent="0.3">
      <c r="A249" s="5">
        <v>1532</v>
      </c>
      <c r="B249" s="5" t="s">
        <v>73</v>
      </c>
      <c r="C249" s="5" t="s">
        <v>74</v>
      </c>
      <c r="D249" s="5" t="s">
        <v>56</v>
      </c>
      <c r="E249" s="5" t="s">
        <v>19</v>
      </c>
      <c r="F249" s="5" t="s">
        <v>37</v>
      </c>
      <c r="G249" s="5" t="s">
        <v>79</v>
      </c>
      <c r="H249" s="5">
        <v>91</v>
      </c>
      <c r="I249" s="6">
        <v>1268</v>
      </c>
      <c r="J249" s="6">
        <v>115388</v>
      </c>
      <c r="K249" s="5">
        <v>5</v>
      </c>
      <c r="L249" s="6">
        <v>109618.6</v>
      </c>
      <c r="M249" s="6">
        <v>63035.57</v>
      </c>
      <c r="N249" s="6">
        <v>46583.03</v>
      </c>
      <c r="O249" s="7">
        <v>42.5</v>
      </c>
      <c r="P249" s="5" t="s">
        <v>61</v>
      </c>
    </row>
    <row r="250" spans="1:16" x14ac:dyDescent="0.3">
      <c r="A250" s="2">
        <v>1234</v>
      </c>
      <c r="B250" s="2" t="s">
        <v>52</v>
      </c>
      <c r="C250" s="2" t="s">
        <v>53</v>
      </c>
      <c r="D250" s="2" t="s">
        <v>25</v>
      </c>
      <c r="E250" s="2" t="s">
        <v>19</v>
      </c>
      <c r="F250" s="2" t="s">
        <v>37</v>
      </c>
      <c r="G250" s="2" t="s">
        <v>82</v>
      </c>
      <c r="H250" s="2">
        <v>31</v>
      </c>
      <c r="I250" s="3">
        <v>1510</v>
      </c>
      <c r="J250" s="3">
        <v>46810</v>
      </c>
      <c r="K250" s="2">
        <v>5</v>
      </c>
      <c r="L250" s="3">
        <v>44469.5</v>
      </c>
      <c r="M250" s="3">
        <v>27795.19</v>
      </c>
      <c r="N250" s="3">
        <v>16674.310000000001</v>
      </c>
      <c r="O250" s="4">
        <v>37.5</v>
      </c>
      <c r="P250" s="2" t="s">
        <v>41</v>
      </c>
    </row>
    <row r="251" spans="1:16" x14ac:dyDescent="0.3">
      <c r="A251" s="5">
        <v>1568</v>
      </c>
      <c r="B251" s="5" t="s">
        <v>73</v>
      </c>
      <c r="C251" s="5" t="s">
        <v>74</v>
      </c>
      <c r="D251" s="5" t="s">
        <v>56</v>
      </c>
      <c r="E251" s="5" t="s">
        <v>42</v>
      </c>
      <c r="F251" s="5" t="s">
        <v>20</v>
      </c>
      <c r="G251" s="5" t="s">
        <v>21</v>
      </c>
      <c r="H251" s="5">
        <v>155</v>
      </c>
      <c r="I251" s="6">
        <v>109</v>
      </c>
      <c r="J251" s="6">
        <v>16895</v>
      </c>
      <c r="K251" s="5">
        <v>5</v>
      </c>
      <c r="L251" s="6">
        <v>16050.25</v>
      </c>
      <c r="M251" s="6">
        <v>10385.98</v>
      </c>
      <c r="N251" s="6">
        <v>5664.27</v>
      </c>
      <c r="O251" s="7">
        <v>35.29</v>
      </c>
      <c r="P251" s="5" t="s">
        <v>39</v>
      </c>
    </row>
    <row r="252" spans="1:16" x14ac:dyDescent="0.3">
      <c r="A252" s="2">
        <v>2077</v>
      </c>
      <c r="B252" s="2" t="s">
        <v>76</v>
      </c>
      <c r="C252" s="2" t="s">
        <v>77</v>
      </c>
      <c r="D252" s="2" t="s">
        <v>36</v>
      </c>
      <c r="E252" s="2" t="s">
        <v>44</v>
      </c>
      <c r="F252" s="2" t="s">
        <v>27</v>
      </c>
      <c r="G252" s="2" t="s">
        <v>28</v>
      </c>
      <c r="H252" s="2">
        <v>74</v>
      </c>
      <c r="I252" s="3">
        <v>7947</v>
      </c>
      <c r="J252" s="3">
        <v>588078</v>
      </c>
      <c r="K252" s="2">
        <v>0</v>
      </c>
      <c r="L252" s="3">
        <v>588078</v>
      </c>
      <c r="M252" s="3">
        <v>379790.81</v>
      </c>
      <c r="N252" s="3">
        <v>208287.19</v>
      </c>
      <c r="O252" s="4">
        <v>35.42</v>
      </c>
      <c r="P252" s="2" t="s">
        <v>50</v>
      </c>
    </row>
    <row r="253" spans="1:16" x14ac:dyDescent="0.3">
      <c r="A253" s="5">
        <v>1693</v>
      </c>
      <c r="B253" s="5" t="s">
        <v>16</v>
      </c>
      <c r="C253" s="5" t="s">
        <v>17</v>
      </c>
      <c r="D253" s="5" t="s">
        <v>18</v>
      </c>
      <c r="E253" s="5" t="s">
        <v>44</v>
      </c>
      <c r="F253" s="5" t="s">
        <v>20</v>
      </c>
      <c r="G253" s="5" t="s">
        <v>21</v>
      </c>
      <c r="H253" s="5">
        <v>30</v>
      </c>
      <c r="I253" s="6">
        <v>113</v>
      </c>
      <c r="J253" s="6">
        <v>3390</v>
      </c>
      <c r="K253" s="5">
        <v>15</v>
      </c>
      <c r="L253" s="6">
        <v>2881.5</v>
      </c>
      <c r="M253" s="6">
        <v>1759.13</v>
      </c>
      <c r="N253" s="6">
        <v>1122.3699999999999</v>
      </c>
      <c r="O253" s="7">
        <v>38.950000000000003</v>
      </c>
      <c r="P253" s="5" t="s">
        <v>45</v>
      </c>
    </row>
    <row r="254" spans="1:16" x14ac:dyDescent="0.3">
      <c r="A254" s="2">
        <v>1779</v>
      </c>
      <c r="B254" s="2" t="s">
        <v>30</v>
      </c>
      <c r="C254" s="2" t="s">
        <v>31</v>
      </c>
      <c r="D254" s="2" t="s">
        <v>18</v>
      </c>
      <c r="E254" s="2" t="s">
        <v>44</v>
      </c>
      <c r="F254" s="2" t="s">
        <v>27</v>
      </c>
      <c r="G254" s="2" t="s">
        <v>66</v>
      </c>
      <c r="H254" s="2">
        <v>52</v>
      </c>
      <c r="I254" s="3">
        <v>746</v>
      </c>
      <c r="J254" s="3">
        <v>38792</v>
      </c>
      <c r="K254" s="2">
        <v>15</v>
      </c>
      <c r="L254" s="3">
        <v>32973.199999999997</v>
      </c>
      <c r="M254" s="3">
        <v>18246.28</v>
      </c>
      <c r="N254" s="3">
        <v>14726.92</v>
      </c>
      <c r="O254" s="4">
        <v>44.66</v>
      </c>
      <c r="P254" s="2" t="s">
        <v>43</v>
      </c>
    </row>
    <row r="255" spans="1:16" x14ac:dyDescent="0.3">
      <c r="A255" s="5">
        <v>1266</v>
      </c>
      <c r="B255" s="5" t="s">
        <v>52</v>
      </c>
      <c r="C255" s="5" t="s">
        <v>53</v>
      </c>
      <c r="D255" s="5" t="s">
        <v>25</v>
      </c>
      <c r="E255" s="5" t="s">
        <v>42</v>
      </c>
      <c r="F255" s="5" t="s">
        <v>20</v>
      </c>
      <c r="G255" s="5" t="s">
        <v>64</v>
      </c>
      <c r="H255" s="5">
        <v>137</v>
      </c>
      <c r="I255" s="6">
        <v>211</v>
      </c>
      <c r="J255" s="6">
        <v>28907</v>
      </c>
      <c r="K255" s="5">
        <v>5</v>
      </c>
      <c r="L255" s="6">
        <v>27461.65</v>
      </c>
      <c r="M255" s="6">
        <v>16619.14</v>
      </c>
      <c r="N255" s="6">
        <v>10842.51</v>
      </c>
      <c r="O255" s="7">
        <v>39.479999999999997</v>
      </c>
      <c r="P255" s="5" t="s">
        <v>39</v>
      </c>
    </row>
    <row r="256" spans="1:16" x14ac:dyDescent="0.3">
      <c r="A256" s="2">
        <v>1556</v>
      </c>
      <c r="B256" s="2" t="s">
        <v>73</v>
      </c>
      <c r="C256" s="2" t="s">
        <v>74</v>
      </c>
      <c r="D256" s="2" t="s">
        <v>56</v>
      </c>
      <c r="E256" s="2" t="s">
        <v>42</v>
      </c>
      <c r="F256" s="2" t="s">
        <v>37</v>
      </c>
      <c r="G256" s="2" t="s">
        <v>59</v>
      </c>
      <c r="H256" s="2">
        <v>90</v>
      </c>
      <c r="I256" s="3">
        <v>496</v>
      </c>
      <c r="J256" s="3">
        <v>44640</v>
      </c>
      <c r="K256" s="2">
        <v>0</v>
      </c>
      <c r="L256" s="3">
        <v>44640</v>
      </c>
      <c r="M256" s="3">
        <v>25157.46</v>
      </c>
      <c r="N256" s="3">
        <v>19482.54</v>
      </c>
      <c r="O256" s="4">
        <v>43.64</v>
      </c>
      <c r="P256" s="2" t="s">
        <v>50</v>
      </c>
    </row>
    <row r="257" spans="1:16" x14ac:dyDescent="0.3">
      <c r="A257" s="5">
        <v>1364</v>
      </c>
      <c r="B257" s="5" t="s">
        <v>57</v>
      </c>
      <c r="C257" s="5" t="s">
        <v>58</v>
      </c>
      <c r="D257" s="5" t="s">
        <v>56</v>
      </c>
      <c r="E257" s="5" t="s">
        <v>42</v>
      </c>
      <c r="F257" s="5" t="s">
        <v>32</v>
      </c>
      <c r="G257" s="5" t="s">
        <v>33</v>
      </c>
      <c r="H257" s="5">
        <v>78</v>
      </c>
      <c r="I257" s="6">
        <v>10675</v>
      </c>
      <c r="J257" s="6">
        <v>832650</v>
      </c>
      <c r="K257" s="5">
        <v>0</v>
      </c>
      <c r="L257" s="6">
        <v>832650</v>
      </c>
      <c r="M257" s="6">
        <v>582501.77</v>
      </c>
      <c r="N257" s="6">
        <v>250148.23</v>
      </c>
      <c r="O257" s="7">
        <v>30.04</v>
      </c>
      <c r="P257" s="5" t="s">
        <v>22</v>
      </c>
    </row>
    <row r="258" spans="1:16" x14ac:dyDescent="0.3">
      <c r="A258" s="2">
        <v>1941</v>
      </c>
      <c r="B258" s="2" t="s">
        <v>34</v>
      </c>
      <c r="C258" s="2" t="s">
        <v>35</v>
      </c>
      <c r="D258" s="2" t="s">
        <v>36</v>
      </c>
      <c r="E258" s="2" t="s">
        <v>19</v>
      </c>
      <c r="F258" s="2" t="s">
        <v>20</v>
      </c>
      <c r="G258" s="2" t="s">
        <v>64</v>
      </c>
      <c r="H258" s="2">
        <v>50</v>
      </c>
      <c r="I258" s="3">
        <v>200</v>
      </c>
      <c r="J258" s="3">
        <v>10000</v>
      </c>
      <c r="K258" s="2">
        <v>20</v>
      </c>
      <c r="L258" s="3">
        <v>8000</v>
      </c>
      <c r="M258" s="3">
        <v>5072.83</v>
      </c>
      <c r="N258" s="3">
        <v>2927.17</v>
      </c>
      <c r="O258" s="4">
        <v>36.590000000000003</v>
      </c>
      <c r="P258" s="2" t="s">
        <v>43</v>
      </c>
    </row>
    <row r="259" spans="1:16" x14ac:dyDescent="0.3">
      <c r="A259" s="5">
        <v>1567</v>
      </c>
      <c r="B259" s="5" t="s">
        <v>73</v>
      </c>
      <c r="C259" s="5" t="s">
        <v>74</v>
      </c>
      <c r="D259" s="5" t="s">
        <v>56</v>
      </c>
      <c r="E259" s="5" t="s">
        <v>42</v>
      </c>
      <c r="F259" s="5" t="s">
        <v>20</v>
      </c>
      <c r="G259" s="5" t="s">
        <v>80</v>
      </c>
      <c r="H259" s="5">
        <v>49</v>
      </c>
      <c r="I259" s="6">
        <v>75</v>
      </c>
      <c r="J259" s="6">
        <v>3675</v>
      </c>
      <c r="K259" s="5">
        <v>0</v>
      </c>
      <c r="L259" s="6">
        <v>3675</v>
      </c>
      <c r="M259" s="6">
        <v>2172.83</v>
      </c>
      <c r="N259" s="6">
        <v>1502.17</v>
      </c>
      <c r="O259" s="7">
        <v>40.880000000000003</v>
      </c>
      <c r="P259" s="5" t="s">
        <v>39</v>
      </c>
    </row>
    <row r="260" spans="1:16" x14ac:dyDescent="0.3">
      <c r="A260" s="2">
        <v>1766</v>
      </c>
      <c r="B260" s="2" t="s">
        <v>30</v>
      </c>
      <c r="C260" s="2" t="s">
        <v>31</v>
      </c>
      <c r="D260" s="2" t="s">
        <v>18</v>
      </c>
      <c r="E260" s="2" t="s">
        <v>42</v>
      </c>
      <c r="F260" s="2" t="s">
        <v>20</v>
      </c>
      <c r="G260" s="2" t="s">
        <v>64</v>
      </c>
      <c r="H260" s="2">
        <v>82</v>
      </c>
      <c r="I260" s="3">
        <v>200</v>
      </c>
      <c r="J260" s="3">
        <v>16400</v>
      </c>
      <c r="K260" s="2">
        <v>5</v>
      </c>
      <c r="L260" s="3">
        <v>15580</v>
      </c>
      <c r="M260" s="3">
        <v>10550.73</v>
      </c>
      <c r="N260" s="3">
        <v>5029.2700000000004</v>
      </c>
      <c r="O260" s="4">
        <v>32.28</v>
      </c>
      <c r="P260" s="2" t="s">
        <v>61</v>
      </c>
    </row>
    <row r="261" spans="1:16" x14ac:dyDescent="0.3">
      <c r="A261" s="5">
        <v>1908</v>
      </c>
      <c r="B261" s="5" t="s">
        <v>34</v>
      </c>
      <c r="C261" s="5" t="s">
        <v>35</v>
      </c>
      <c r="D261" s="5" t="s">
        <v>36</v>
      </c>
      <c r="E261" s="5" t="s">
        <v>26</v>
      </c>
      <c r="F261" s="5" t="s">
        <v>37</v>
      </c>
      <c r="G261" s="5" t="s">
        <v>38</v>
      </c>
      <c r="H261" s="5">
        <v>157</v>
      </c>
      <c r="I261" s="6">
        <v>1972</v>
      </c>
      <c r="J261" s="6">
        <v>309604</v>
      </c>
      <c r="K261" s="5">
        <v>10</v>
      </c>
      <c r="L261" s="6">
        <v>278643.59999999998</v>
      </c>
      <c r="M261" s="6">
        <v>178683.55</v>
      </c>
      <c r="N261" s="6">
        <v>99960.05</v>
      </c>
      <c r="O261" s="7">
        <v>35.869999999999997</v>
      </c>
      <c r="P261" s="5" t="s">
        <v>45</v>
      </c>
    </row>
    <row r="262" spans="1:16" x14ac:dyDescent="0.3">
      <c r="A262" s="2">
        <v>1026</v>
      </c>
      <c r="B262" s="2" t="s">
        <v>62</v>
      </c>
      <c r="C262" s="2" t="s">
        <v>63</v>
      </c>
      <c r="D262" s="2" t="s">
        <v>25</v>
      </c>
      <c r="E262" s="2" t="s">
        <v>19</v>
      </c>
      <c r="F262" s="2" t="s">
        <v>27</v>
      </c>
      <c r="G262" s="2" t="s">
        <v>85</v>
      </c>
      <c r="H262" s="2">
        <v>68</v>
      </c>
      <c r="I262" s="3">
        <v>12669</v>
      </c>
      <c r="J262" s="3">
        <v>861492</v>
      </c>
      <c r="K262" s="2">
        <v>0</v>
      </c>
      <c r="L262" s="3">
        <v>861492</v>
      </c>
      <c r="M262" s="3">
        <v>551218.5</v>
      </c>
      <c r="N262" s="3">
        <v>310273.5</v>
      </c>
      <c r="O262" s="4">
        <v>36.020000000000003</v>
      </c>
      <c r="P262" s="2" t="s">
        <v>39</v>
      </c>
    </row>
    <row r="263" spans="1:16" x14ac:dyDescent="0.3">
      <c r="A263" s="5">
        <v>2110</v>
      </c>
      <c r="B263" s="5" t="s">
        <v>46</v>
      </c>
      <c r="C263" s="5" t="s">
        <v>47</v>
      </c>
      <c r="D263" s="5" t="s">
        <v>36</v>
      </c>
      <c r="E263" s="5" t="s">
        <v>26</v>
      </c>
      <c r="F263" s="5" t="s">
        <v>37</v>
      </c>
      <c r="G263" s="5" t="s">
        <v>67</v>
      </c>
      <c r="H263" s="5">
        <v>181</v>
      </c>
      <c r="I263" s="6">
        <v>1694</v>
      </c>
      <c r="J263" s="6">
        <v>306614</v>
      </c>
      <c r="K263" s="5">
        <v>5</v>
      </c>
      <c r="L263" s="6">
        <v>291283.3</v>
      </c>
      <c r="M263" s="6">
        <v>183060.79</v>
      </c>
      <c r="N263" s="6">
        <v>108222.51</v>
      </c>
      <c r="O263" s="7">
        <v>37.15</v>
      </c>
      <c r="P263" s="5" t="s">
        <v>22</v>
      </c>
    </row>
    <row r="264" spans="1:16" x14ac:dyDescent="0.3">
      <c r="A264" s="2">
        <v>1264</v>
      </c>
      <c r="B264" s="2" t="s">
        <v>52</v>
      </c>
      <c r="C264" s="2" t="s">
        <v>53</v>
      </c>
      <c r="D264" s="2" t="s">
        <v>25</v>
      </c>
      <c r="E264" s="2" t="s">
        <v>42</v>
      </c>
      <c r="F264" s="2" t="s">
        <v>32</v>
      </c>
      <c r="G264" s="2" t="s">
        <v>33</v>
      </c>
      <c r="H264" s="2">
        <v>69</v>
      </c>
      <c r="I264" s="3">
        <v>10353</v>
      </c>
      <c r="J264" s="3">
        <v>714357</v>
      </c>
      <c r="K264" s="2">
        <v>5</v>
      </c>
      <c r="L264" s="3">
        <v>678639.15</v>
      </c>
      <c r="M264" s="3">
        <v>471951.65</v>
      </c>
      <c r="N264" s="3">
        <v>206687.5</v>
      </c>
      <c r="O264" s="4">
        <v>30.46</v>
      </c>
      <c r="P264" s="2" t="s">
        <v>50</v>
      </c>
    </row>
    <row r="265" spans="1:16" x14ac:dyDescent="0.3">
      <c r="A265" s="5">
        <v>1078</v>
      </c>
      <c r="B265" s="5" t="s">
        <v>62</v>
      </c>
      <c r="C265" s="5" t="s">
        <v>63</v>
      </c>
      <c r="D265" s="5" t="s">
        <v>25</v>
      </c>
      <c r="E265" s="5" t="s">
        <v>44</v>
      </c>
      <c r="F265" s="5" t="s">
        <v>27</v>
      </c>
      <c r="G265" s="5" t="s">
        <v>83</v>
      </c>
      <c r="H265" s="5">
        <v>86</v>
      </c>
      <c r="I265" s="6">
        <v>5403</v>
      </c>
      <c r="J265" s="6">
        <v>464658</v>
      </c>
      <c r="K265" s="5">
        <v>5</v>
      </c>
      <c r="L265" s="6">
        <v>441425.1</v>
      </c>
      <c r="M265" s="6">
        <v>269671.57</v>
      </c>
      <c r="N265" s="6">
        <v>171753.53</v>
      </c>
      <c r="O265" s="7">
        <v>38.909999999999997</v>
      </c>
      <c r="P265" s="5" t="s">
        <v>43</v>
      </c>
    </row>
    <row r="266" spans="1:16" x14ac:dyDescent="0.3">
      <c r="A266" s="2">
        <v>1785</v>
      </c>
      <c r="B266" s="2" t="s">
        <v>30</v>
      </c>
      <c r="C266" s="2" t="s">
        <v>31</v>
      </c>
      <c r="D266" s="2" t="s">
        <v>18</v>
      </c>
      <c r="E266" s="2" t="s">
        <v>44</v>
      </c>
      <c r="F266" s="2" t="s">
        <v>37</v>
      </c>
      <c r="G266" s="2" t="s">
        <v>67</v>
      </c>
      <c r="H266" s="2">
        <v>111</v>
      </c>
      <c r="I266" s="3">
        <v>1804</v>
      </c>
      <c r="J266" s="3">
        <v>200244</v>
      </c>
      <c r="K266" s="2">
        <v>0</v>
      </c>
      <c r="L266" s="3">
        <v>200244</v>
      </c>
      <c r="M266" s="3">
        <v>131886.31</v>
      </c>
      <c r="N266" s="3">
        <v>68357.69</v>
      </c>
      <c r="O266" s="4">
        <v>34.14</v>
      </c>
      <c r="P266" s="2" t="s">
        <v>41</v>
      </c>
    </row>
    <row r="267" spans="1:16" x14ac:dyDescent="0.3">
      <c r="A267" s="5">
        <v>1467</v>
      </c>
      <c r="B267" s="5" t="s">
        <v>54</v>
      </c>
      <c r="C267" s="5" t="s">
        <v>55</v>
      </c>
      <c r="D267" s="5" t="s">
        <v>56</v>
      </c>
      <c r="E267" s="5" t="s">
        <v>42</v>
      </c>
      <c r="F267" s="5" t="s">
        <v>20</v>
      </c>
      <c r="G267" s="5" t="s">
        <v>80</v>
      </c>
      <c r="H267" s="5">
        <v>90</v>
      </c>
      <c r="I267" s="6">
        <v>79</v>
      </c>
      <c r="J267" s="6">
        <v>7110</v>
      </c>
      <c r="K267" s="5">
        <v>20</v>
      </c>
      <c r="L267" s="6">
        <v>5688</v>
      </c>
      <c r="M267" s="6">
        <v>3400.49</v>
      </c>
      <c r="N267" s="6">
        <v>2287.5100000000002</v>
      </c>
      <c r="O267" s="7">
        <v>40.22</v>
      </c>
      <c r="P267" s="5" t="s">
        <v>50</v>
      </c>
    </row>
    <row r="268" spans="1:16" x14ac:dyDescent="0.3">
      <c r="A268" s="2">
        <v>2088</v>
      </c>
      <c r="B268" s="2" t="s">
        <v>76</v>
      </c>
      <c r="C268" s="2" t="s">
        <v>77</v>
      </c>
      <c r="D268" s="2" t="s">
        <v>36</v>
      </c>
      <c r="E268" s="2" t="s">
        <v>44</v>
      </c>
      <c r="F268" s="2" t="s">
        <v>32</v>
      </c>
      <c r="G268" s="2" t="s">
        <v>81</v>
      </c>
      <c r="H268" s="2">
        <v>97</v>
      </c>
      <c r="I268" s="3">
        <v>14530</v>
      </c>
      <c r="J268" s="3">
        <v>1409410</v>
      </c>
      <c r="K268" s="2">
        <v>20</v>
      </c>
      <c r="L268" s="3">
        <v>1127528</v>
      </c>
      <c r="M268" s="3">
        <v>640639.48</v>
      </c>
      <c r="N268" s="3">
        <v>486888.52</v>
      </c>
      <c r="O268" s="4">
        <v>43.18</v>
      </c>
      <c r="P268" s="2" t="s">
        <v>41</v>
      </c>
    </row>
    <row r="269" spans="1:16" x14ac:dyDescent="0.3">
      <c r="A269" s="5">
        <v>1638</v>
      </c>
      <c r="B269" s="5" t="s">
        <v>16</v>
      </c>
      <c r="C269" s="5" t="s">
        <v>17</v>
      </c>
      <c r="D269" s="5" t="s">
        <v>18</v>
      </c>
      <c r="E269" s="5" t="s">
        <v>19</v>
      </c>
      <c r="F269" s="5" t="s">
        <v>32</v>
      </c>
      <c r="G269" s="5" t="s">
        <v>81</v>
      </c>
      <c r="H269" s="5">
        <v>82</v>
      </c>
      <c r="I269" s="6">
        <v>13654</v>
      </c>
      <c r="J269" s="6">
        <v>1119628</v>
      </c>
      <c r="K269" s="5">
        <v>10</v>
      </c>
      <c r="L269" s="6">
        <v>1007665.2</v>
      </c>
      <c r="M269" s="6">
        <v>623593.31000000006</v>
      </c>
      <c r="N269" s="6">
        <v>384071.89</v>
      </c>
      <c r="O269" s="7">
        <v>38.119999999999997</v>
      </c>
      <c r="P269" s="5" t="s">
        <v>45</v>
      </c>
    </row>
    <row r="270" spans="1:16" x14ac:dyDescent="0.3">
      <c r="A270" s="2">
        <v>1720</v>
      </c>
      <c r="B270" s="2" t="s">
        <v>30</v>
      </c>
      <c r="C270" s="2" t="s">
        <v>31</v>
      </c>
      <c r="D270" s="2" t="s">
        <v>18</v>
      </c>
      <c r="E270" s="2" t="s">
        <v>26</v>
      </c>
      <c r="F270" s="2" t="s">
        <v>20</v>
      </c>
      <c r="G270" s="2" t="s">
        <v>60</v>
      </c>
      <c r="H270" s="2">
        <v>61</v>
      </c>
      <c r="I270" s="3">
        <v>95</v>
      </c>
      <c r="J270" s="3">
        <v>5795</v>
      </c>
      <c r="K270" s="2">
        <v>5</v>
      </c>
      <c r="L270" s="3">
        <v>5505.25</v>
      </c>
      <c r="M270" s="3">
        <v>3600.11</v>
      </c>
      <c r="N270" s="3">
        <v>1905.14</v>
      </c>
      <c r="O270" s="4">
        <v>34.61</v>
      </c>
      <c r="P270" s="2" t="s">
        <v>43</v>
      </c>
    </row>
    <row r="271" spans="1:16" x14ac:dyDescent="0.3">
      <c r="A271" s="5">
        <v>1347</v>
      </c>
      <c r="B271" s="5" t="s">
        <v>57</v>
      </c>
      <c r="C271" s="5" t="s">
        <v>58</v>
      </c>
      <c r="D271" s="5" t="s">
        <v>56</v>
      </c>
      <c r="E271" s="5" t="s">
        <v>19</v>
      </c>
      <c r="F271" s="5" t="s">
        <v>48</v>
      </c>
      <c r="G271" s="5" t="s">
        <v>78</v>
      </c>
      <c r="H271" s="5">
        <v>57</v>
      </c>
      <c r="I271" s="6">
        <v>558</v>
      </c>
      <c r="J271" s="6">
        <v>31806</v>
      </c>
      <c r="K271" s="5">
        <v>5</v>
      </c>
      <c r="L271" s="6">
        <v>30215.7</v>
      </c>
      <c r="M271" s="6">
        <v>18478.61</v>
      </c>
      <c r="N271" s="6">
        <v>11737.09</v>
      </c>
      <c r="O271" s="7">
        <v>38.840000000000003</v>
      </c>
      <c r="P271" s="5" t="s">
        <v>39</v>
      </c>
    </row>
    <row r="272" spans="1:16" x14ac:dyDescent="0.3">
      <c r="A272" s="5">
        <v>1062</v>
      </c>
      <c r="B272" s="5" t="s">
        <v>62</v>
      </c>
      <c r="C272" s="5" t="s">
        <v>63</v>
      </c>
      <c r="D272" s="5" t="s">
        <v>25</v>
      </c>
      <c r="E272" s="5" t="s">
        <v>42</v>
      </c>
      <c r="F272" s="5" t="s">
        <v>32</v>
      </c>
      <c r="G272" s="5" t="s">
        <v>75</v>
      </c>
      <c r="H272" s="5">
        <v>114</v>
      </c>
      <c r="I272" s="6">
        <v>12711</v>
      </c>
      <c r="J272" s="6">
        <v>1449054</v>
      </c>
      <c r="K272" s="5">
        <v>0</v>
      </c>
      <c r="L272" s="6">
        <v>1449054</v>
      </c>
      <c r="M272" s="6">
        <v>992368.25</v>
      </c>
      <c r="N272" s="6">
        <v>456685.75</v>
      </c>
      <c r="O272" s="7">
        <v>31.52</v>
      </c>
      <c r="P272" s="5" t="s">
        <v>45</v>
      </c>
    </row>
    <row r="273" spans="1:16" x14ac:dyDescent="0.3">
      <c r="A273" s="2">
        <v>2194</v>
      </c>
      <c r="B273" s="2" t="s">
        <v>46</v>
      </c>
      <c r="C273" s="2" t="s">
        <v>47</v>
      </c>
      <c r="D273" s="2" t="s">
        <v>36</v>
      </c>
      <c r="E273" s="2" t="s">
        <v>44</v>
      </c>
      <c r="F273" s="2" t="s">
        <v>20</v>
      </c>
      <c r="G273" s="2" t="s">
        <v>68</v>
      </c>
      <c r="H273" s="2">
        <v>111</v>
      </c>
      <c r="I273" s="3">
        <v>162</v>
      </c>
      <c r="J273" s="3">
        <v>17982</v>
      </c>
      <c r="K273" s="2">
        <v>0</v>
      </c>
      <c r="L273" s="3">
        <v>17982</v>
      </c>
      <c r="M273" s="3">
        <v>12098.77</v>
      </c>
      <c r="N273" s="3">
        <v>5883.23</v>
      </c>
      <c r="O273" s="4">
        <v>32.72</v>
      </c>
      <c r="P273" s="2" t="s">
        <v>43</v>
      </c>
    </row>
    <row r="274" spans="1:16" x14ac:dyDescent="0.3">
      <c r="A274" s="5">
        <v>2013</v>
      </c>
      <c r="B274" s="5" t="s">
        <v>76</v>
      </c>
      <c r="C274" s="5" t="s">
        <v>77</v>
      </c>
      <c r="D274" s="5" t="s">
        <v>36</v>
      </c>
      <c r="E274" s="5" t="s">
        <v>26</v>
      </c>
      <c r="F274" s="5" t="s">
        <v>32</v>
      </c>
      <c r="G274" s="5" t="s">
        <v>81</v>
      </c>
      <c r="H274" s="5">
        <v>137</v>
      </c>
      <c r="I274" s="6">
        <v>14764</v>
      </c>
      <c r="J274" s="6">
        <v>2022668</v>
      </c>
      <c r="K274" s="5">
        <v>0</v>
      </c>
      <c r="L274" s="6">
        <v>2022668</v>
      </c>
      <c r="M274" s="6">
        <v>1195190.74</v>
      </c>
      <c r="N274" s="6">
        <v>827477.26</v>
      </c>
      <c r="O274" s="7">
        <v>40.909999999999997</v>
      </c>
      <c r="P274" s="5" t="s">
        <v>61</v>
      </c>
    </row>
    <row r="275" spans="1:16" x14ac:dyDescent="0.3">
      <c r="A275" s="2">
        <v>1727</v>
      </c>
      <c r="B275" s="2" t="s">
        <v>30</v>
      </c>
      <c r="C275" s="2" t="s">
        <v>31</v>
      </c>
      <c r="D275" s="2" t="s">
        <v>18</v>
      </c>
      <c r="E275" s="2" t="s">
        <v>19</v>
      </c>
      <c r="F275" s="2" t="s">
        <v>27</v>
      </c>
      <c r="G275" s="2" t="s">
        <v>28</v>
      </c>
      <c r="H275" s="2">
        <v>117</v>
      </c>
      <c r="I275" s="3">
        <v>7448</v>
      </c>
      <c r="J275" s="3">
        <v>871416</v>
      </c>
      <c r="K275" s="2">
        <v>0</v>
      </c>
      <c r="L275" s="3">
        <v>871416</v>
      </c>
      <c r="M275" s="3">
        <v>600662.03</v>
      </c>
      <c r="N275" s="3">
        <v>270753.96999999997</v>
      </c>
      <c r="O275" s="4">
        <v>31.07</v>
      </c>
      <c r="P275" s="2" t="s">
        <v>43</v>
      </c>
    </row>
    <row r="276" spans="1:16" x14ac:dyDescent="0.3">
      <c r="A276" s="5">
        <v>2191</v>
      </c>
      <c r="B276" s="5" t="s">
        <v>46</v>
      </c>
      <c r="C276" s="5" t="s">
        <v>47</v>
      </c>
      <c r="D276" s="5" t="s">
        <v>36</v>
      </c>
      <c r="E276" s="5" t="s">
        <v>44</v>
      </c>
      <c r="F276" s="5" t="s">
        <v>20</v>
      </c>
      <c r="G276" s="5" t="s">
        <v>64</v>
      </c>
      <c r="H276" s="5">
        <v>48</v>
      </c>
      <c r="I276" s="6">
        <v>203</v>
      </c>
      <c r="J276" s="6">
        <v>9744</v>
      </c>
      <c r="K276" s="5">
        <v>0</v>
      </c>
      <c r="L276" s="6">
        <v>9744</v>
      </c>
      <c r="M276" s="6">
        <v>5378.05</v>
      </c>
      <c r="N276" s="6">
        <v>4365.95</v>
      </c>
      <c r="O276" s="7">
        <v>44.81</v>
      </c>
      <c r="P276" s="5" t="s">
        <v>50</v>
      </c>
    </row>
    <row r="277" spans="1:16" x14ac:dyDescent="0.3">
      <c r="A277" s="2">
        <v>1576</v>
      </c>
      <c r="B277" s="2" t="s">
        <v>73</v>
      </c>
      <c r="C277" s="2" t="s">
        <v>74</v>
      </c>
      <c r="D277" s="2" t="s">
        <v>56</v>
      </c>
      <c r="E277" s="2" t="s">
        <v>44</v>
      </c>
      <c r="F277" s="2" t="s">
        <v>27</v>
      </c>
      <c r="G277" s="2" t="s">
        <v>85</v>
      </c>
      <c r="H277" s="2">
        <v>131</v>
      </c>
      <c r="I277" s="3">
        <v>13075</v>
      </c>
      <c r="J277" s="3">
        <v>1712825</v>
      </c>
      <c r="K277" s="2">
        <v>15</v>
      </c>
      <c r="L277" s="3">
        <v>1455901.25</v>
      </c>
      <c r="M277" s="3">
        <v>878229.76</v>
      </c>
      <c r="N277" s="3">
        <v>577671.49</v>
      </c>
      <c r="O277" s="4">
        <v>39.68</v>
      </c>
      <c r="P277" s="2" t="s">
        <v>61</v>
      </c>
    </row>
    <row r="278" spans="1:16" x14ac:dyDescent="0.3">
      <c r="A278" s="5">
        <v>1017</v>
      </c>
      <c r="B278" s="5" t="s">
        <v>62</v>
      </c>
      <c r="C278" s="5" t="s">
        <v>63</v>
      </c>
      <c r="D278" s="5" t="s">
        <v>25</v>
      </c>
      <c r="E278" s="5" t="s">
        <v>26</v>
      </c>
      <c r="F278" s="5" t="s">
        <v>20</v>
      </c>
      <c r="G278" s="5" t="s">
        <v>80</v>
      </c>
      <c r="H278" s="5">
        <v>45</v>
      </c>
      <c r="I278" s="6">
        <v>81</v>
      </c>
      <c r="J278" s="6">
        <v>3645</v>
      </c>
      <c r="K278" s="5">
        <v>5</v>
      </c>
      <c r="L278" s="6">
        <v>3462.75</v>
      </c>
      <c r="M278" s="6">
        <v>2292.52</v>
      </c>
      <c r="N278" s="6">
        <v>1170.23</v>
      </c>
      <c r="O278" s="7">
        <v>33.79</v>
      </c>
      <c r="P278" s="5" t="s">
        <v>22</v>
      </c>
    </row>
    <row r="279" spans="1:16" x14ac:dyDescent="0.3">
      <c r="A279" s="2">
        <v>1478</v>
      </c>
      <c r="B279" s="2" t="s">
        <v>54</v>
      </c>
      <c r="C279" s="2" t="s">
        <v>55</v>
      </c>
      <c r="D279" s="2" t="s">
        <v>56</v>
      </c>
      <c r="E279" s="2" t="s">
        <v>44</v>
      </c>
      <c r="F279" s="2" t="s">
        <v>27</v>
      </c>
      <c r="G279" s="2" t="s">
        <v>83</v>
      </c>
      <c r="H279" s="2">
        <v>62</v>
      </c>
      <c r="I279" s="3">
        <v>4683</v>
      </c>
      <c r="J279" s="3">
        <v>290346</v>
      </c>
      <c r="K279" s="2">
        <v>0</v>
      </c>
      <c r="L279" s="3">
        <v>290346</v>
      </c>
      <c r="M279" s="3">
        <v>181937.69</v>
      </c>
      <c r="N279" s="3">
        <v>108408.31</v>
      </c>
      <c r="O279" s="4">
        <v>37.340000000000003</v>
      </c>
      <c r="P279" s="2" t="s">
        <v>22</v>
      </c>
    </row>
    <row r="280" spans="1:16" x14ac:dyDescent="0.3">
      <c r="A280" s="5">
        <v>1090</v>
      </c>
      <c r="B280" s="5" t="s">
        <v>62</v>
      </c>
      <c r="C280" s="5" t="s">
        <v>63</v>
      </c>
      <c r="D280" s="5" t="s">
        <v>25</v>
      </c>
      <c r="E280" s="5" t="s">
        <v>44</v>
      </c>
      <c r="F280" s="5" t="s">
        <v>32</v>
      </c>
      <c r="G280" s="5" t="s">
        <v>65</v>
      </c>
      <c r="H280" s="5">
        <v>103</v>
      </c>
      <c r="I280" s="6">
        <v>4777</v>
      </c>
      <c r="J280" s="6">
        <v>492031</v>
      </c>
      <c r="K280" s="5">
        <v>20</v>
      </c>
      <c r="L280" s="6">
        <v>393624.8</v>
      </c>
      <c r="M280" s="6">
        <v>253499.2</v>
      </c>
      <c r="N280" s="6">
        <v>140125.6</v>
      </c>
      <c r="O280" s="7">
        <v>35.6</v>
      </c>
      <c r="P280" s="5" t="s">
        <v>50</v>
      </c>
    </row>
    <row r="281" spans="1:16" x14ac:dyDescent="0.3">
      <c r="A281" s="2">
        <v>2052</v>
      </c>
      <c r="B281" s="2" t="s">
        <v>76</v>
      </c>
      <c r="C281" s="2" t="s">
        <v>77</v>
      </c>
      <c r="D281" s="2" t="s">
        <v>36</v>
      </c>
      <c r="E281" s="2" t="s">
        <v>42</v>
      </c>
      <c r="F281" s="2" t="s">
        <v>27</v>
      </c>
      <c r="G281" s="2" t="s">
        <v>28</v>
      </c>
      <c r="H281" s="2">
        <v>160</v>
      </c>
      <c r="I281" s="3">
        <v>8063</v>
      </c>
      <c r="J281" s="3">
        <v>1290080</v>
      </c>
      <c r="K281" s="2">
        <v>5</v>
      </c>
      <c r="L281" s="3">
        <v>1225576</v>
      </c>
      <c r="M281" s="3">
        <v>786765.7</v>
      </c>
      <c r="N281" s="3">
        <v>438810.3</v>
      </c>
      <c r="O281" s="4">
        <v>35.799999999999997</v>
      </c>
      <c r="P281" s="2" t="s">
        <v>41</v>
      </c>
    </row>
    <row r="282" spans="1:16" x14ac:dyDescent="0.3">
      <c r="A282" s="5">
        <v>2067</v>
      </c>
      <c r="B282" s="5" t="s">
        <v>76</v>
      </c>
      <c r="C282" s="5" t="s">
        <v>77</v>
      </c>
      <c r="D282" s="5" t="s">
        <v>36</v>
      </c>
      <c r="E282" s="5" t="s">
        <v>42</v>
      </c>
      <c r="F282" s="5" t="s">
        <v>20</v>
      </c>
      <c r="G282" s="5" t="s">
        <v>80</v>
      </c>
      <c r="H282" s="5">
        <v>120</v>
      </c>
      <c r="I282" s="6">
        <v>74</v>
      </c>
      <c r="J282" s="6">
        <v>8880</v>
      </c>
      <c r="K282" s="5">
        <v>15</v>
      </c>
      <c r="L282" s="6">
        <v>7548</v>
      </c>
      <c r="M282" s="6">
        <v>4164.83</v>
      </c>
      <c r="N282" s="6">
        <v>3383.17</v>
      </c>
      <c r="O282" s="7">
        <v>44.82</v>
      </c>
      <c r="P282" s="5" t="s">
        <v>39</v>
      </c>
    </row>
    <row r="283" spans="1:16" x14ac:dyDescent="0.3">
      <c r="A283" s="2">
        <v>1738</v>
      </c>
      <c r="B283" s="2" t="s">
        <v>30</v>
      </c>
      <c r="C283" s="2" t="s">
        <v>31</v>
      </c>
      <c r="D283" s="2" t="s">
        <v>18</v>
      </c>
      <c r="E283" s="2" t="s">
        <v>19</v>
      </c>
      <c r="F283" s="2" t="s">
        <v>32</v>
      </c>
      <c r="G283" s="2" t="s">
        <v>81</v>
      </c>
      <c r="H283" s="2">
        <v>106</v>
      </c>
      <c r="I283" s="3">
        <v>13190</v>
      </c>
      <c r="J283" s="3">
        <v>1398140</v>
      </c>
      <c r="K283" s="2">
        <v>5</v>
      </c>
      <c r="L283" s="3">
        <v>1328233</v>
      </c>
      <c r="M283" s="3">
        <v>902856.59</v>
      </c>
      <c r="N283" s="3">
        <v>425376.41</v>
      </c>
      <c r="O283" s="4">
        <v>32.03</v>
      </c>
      <c r="P283" s="2" t="s">
        <v>22</v>
      </c>
    </row>
    <row r="284" spans="1:16" x14ac:dyDescent="0.3">
      <c r="A284" s="5">
        <v>1672</v>
      </c>
      <c r="B284" s="5" t="s">
        <v>16</v>
      </c>
      <c r="C284" s="5" t="s">
        <v>17</v>
      </c>
      <c r="D284" s="5" t="s">
        <v>18</v>
      </c>
      <c r="E284" s="5" t="s">
        <v>42</v>
      </c>
      <c r="F284" s="5" t="s">
        <v>48</v>
      </c>
      <c r="G284" s="5" t="s">
        <v>78</v>
      </c>
      <c r="H284" s="5">
        <v>102</v>
      </c>
      <c r="I284" s="6">
        <v>613</v>
      </c>
      <c r="J284" s="6">
        <v>62526</v>
      </c>
      <c r="K284" s="5">
        <v>5</v>
      </c>
      <c r="L284" s="6">
        <v>59399.7</v>
      </c>
      <c r="M284" s="6">
        <v>40078.449999999997</v>
      </c>
      <c r="N284" s="6">
        <v>19321.25</v>
      </c>
      <c r="O284" s="7">
        <v>32.53</v>
      </c>
      <c r="P284" s="5" t="s">
        <v>45</v>
      </c>
    </row>
    <row r="285" spans="1:16" x14ac:dyDescent="0.3">
      <c r="A285" s="2">
        <v>1343</v>
      </c>
      <c r="B285" s="2" t="s">
        <v>57</v>
      </c>
      <c r="C285" s="2" t="s">
        <v>58</v>
      </c>
      <c r="D285" s="2" t="s">
        <v>56</v>
      </c>
      <c r="E285" s="2" t="s">
        <v>19</v>
      </c>
      <c r="F285" s="2" t="s">
        <v>20</v>
      </c>
      <c r="G285" s="2" t="s">
        <v>21</v>
      </c>
      <c r="H285" s="2">
        <v>140</v>
      </c>
      <c r="I285" s="3">
        <v>122</v>
      </c>
      <c r="J285" s="3">
        <v>17080</v>
      </c>
      <c r="K285" s="2">
        <v>0</v>
      </c>
      <c r="L285" s="3">
        <v>17080</v>
      </c>
      <c r="M285" s="3">
        <v>10923.28</v>
      </c>
      <c r="N285" s="3">
        <v>6156.72</v>
      </c>
      <c r="O285" s="4">
        <v>36.049999999999997</v>
      </c>
      <c r="P285" s="2" t="s">
        <v>50</v>
      </c>
    </row>
    <row r="286" spans="1:16" x14ac:dyDescent="0.3">
      <c r="A286" s="5">
        <v>1500</v>
      </c>
      <c r="B286" s="5" t="s">
        <v>54</v>
      </c>
      <c r="C286" s="5" t="s">
        <v>55</v>
      </c>
      <c r="D286" s="5" t="s">
        <v>56</v>
      </c>
      <c r="E286" s="5" t="s">
        <v>44</v>
      </c>
      <c r="F286" s="5" t="s">
        <v>48</v>
      </c>
      <c r="G286" s="5" t="s">
        <v>72</v>
      </c>
      <c r="H286" s="5">
        <v>107</v>
      </c>
      <c r="I286" s="6">
        <v>3638</v>
      </c>
      <c r="J286" s="6">
        <v>389266</v>
      </c>
      <c r="K286" s="5">
        <v>0</v>
      </c>
      <c r="L286" s="6">
        <v>389266</v>
      </c>
      <c r="M286" s="6">
        <v>260555.85</v>
      </c>
      <c r="N286" s="6">
        <v>128710.15</v>
      </c>
      <c r="O286" s="7">
        <v>33.06</v>
      </c>
      <c r="P286" s="5" t="s">
        <v>22</v>
      </c>
    </row>
    <row r="287" spans="1:16" x14ac:dyDescent="0.3">
      <c r="A287" s="2">
        <v>1286</v>
      </c>
      <c r="B287" s="2" t="s">
        <v>52</v>
      </c>
      <c r="C287" s="2" t="s">
        <v>53</v>
      </c>
      <c r="D287" s="2" t="s">
        <v>25</v>
      </c>
      <c r="E287" s="2" t="s">
        <v>44</v>
      </c>
      <c r="F287" s="2" t="s">
        <v>32</v>
      </c>
      <c r="G287" s="2" t="s">
        <v>40</v>
      </c>
      <c r="H287" s="2">
        <v>81</v>
      </c>
      <c r="I287" s="3">
        <v>19129</v>
      </c>
      <c r="J287" s="3">
        <v>1549449</v>
      </c>
      <c r="K287" s="2">
        <v>0</v>
      </c>
      <c r="L287" s="3">
        <v>1549449</v>
      </c>
      <c r="M287" s="3">
        <v>1045192.52</v>
      </c>
      <c r="N287" s="3">
        <v>504256.48</v>
      </c>
      <c r="O287" s="4">
        <v>32.54</v>
      </c>
      <c r="P287" s="2" t="s">
        <v>39</v>
      </c>
    </row>
    <row r="288" spans="1:16" x14ac:dyDescent="0.3">
      <c r="A288" s="5">
        <v>1935</v>
      </c>
      <c r="B288" s="5" t="s">
        <v>34</v>
      </c>
      <c r="C288" s="5" t="s">
        <v>35</v>
      </c>
      <c r="D288" s="5" t="s">
        <v>36</v>
      </c>
      <c r="E288" s="5" t="s">
        <v>19</v>
      </c>
      <c r="F288" s="5" t="s">
        <v>37</v>
      </c>
      <c r="G288" s="5" t="s">
        <v>67</v>
      </c>
      <c r="H288" s="5">
        <v>104</v>
      </c>
      <c r="I288" s="6">
        <v>1844</v>
      </c>
      <c r="J288" s="6">
        <v>191776</v>
      </c>
      <c r="K288" s="5">
        <v>0</v>
      </c>
      <c r="L288" s="6">
        <v>191776</v>
      </c>
      <c r="M288" s="6">
        <v>125471.49</v>
      </c>
      <c r="N288" s="6">
        <v>66304.509999999995</v>
      </c>
      <c r="O288" s="7">
        <v>34.57</v>
      </c>
      <c r="P288" s="5" t="s">
        <v>43</v>
      </c>
    </row>
    <row r="289" spans="1:16" x14ac:dyDescent="0.3">
      <c r="A289" s="2">
        <v>1748</v>
      </c>
      <c r="B289" s="2" t="s">
        <v>30</v>
      </c>
      <c r="C289" s="2" t="s">
        <v>31</v>
      </c>
      <c r="D289" s="2" t="s">
        <v>18</v>
      </c>
      <c r="E289" s="2" t="s">
        <v>19</v>
      </c>
      <c r="F289" s="2" t="s">
        <v>48</v>
      </c>
      <c r="G289" s="2" t="s">
        <v>49</v>
      </c>
      <c r="H289" s="2">
        <v>61</v>
      </c>
      <c r="I289" s="3">
        <v>862</v>
      </c>
      <c r="J289" s="3">
        <v>52582</v>
      </c>
      <c r="K289" s="2">
        <v>10</v>
      </c>
      <c r="L289" s="3">
        <v>47323.8</v>
      </c>
      <c r="M289" s="3">
        <v>32824.199999999997</v>
      </c>
      <c r="N289" s="3">
        <v>14499.6</v>
      </c>
      <c r="O289" s="4">
        <v>30.64</v>
      </c>
      <c r="P289" s="2" t="s">
        <v>43</v>
      </c>
    </row>
    <row r="290" spans="1:16" x14ac:dyDescent="0.3">
      <c r="A290" s="5">
        <v>1793</v>
      </c>
      <c r="B290" s="5" t="s">
        <v>30</v>
      </c>
      <c r="C290" s="5" t="s">
        <v>31</v>
      </c>
      <c r="D290" s="5" t="s">
        <v>18</v>
      </c>
      <c r="E290" s="5" t="s">
        <v>44</v>
      </c>
      <c r="F290" s="5" t="s">
        <v>20</v>
      </c>
      <c r="G290" s="5" t="s">
        <v>21</v>
      </c>
      <c r="H290" s="5">
        <v>62</v>
      </c>
      <c r="I290" s="6">
        <v>129</v>
      </c>
      <c r="J290" s="6">
        <v>7998</v>
      </c>
      <c r="K290" s="5">
        <v>15</v>
      </c>
      <c r="L290" s="6">
        <v>6798.3</v>
      </c>
      <c r="M290" s="6">
        <v>4001.96</v>
      </c>
      <c r="N290" s="6">
        <v>2796.34</v>
      </c>
      <c r="O290" s="7">
        <v>41.13</v>
      </c>
      <c r="P290" s="5" t="s">
        <v>43</v>
      </c>
    </row>
    <row r="291" spans="1:16" x14ac:dyDescent="0.3">
      <c r="A291" s="2">
        <v>1673</v>
      </c>
      <c r="B291" s="2" t="s">
        <v>16</v>
      </c>
      <c r="C291" s="2" t="s">
        <v>17</v>
      </c>
      <c r="D291" s="2" t="s">
        <v>18</v>
      </c>
      <c r="E291" s="2" t="s">
        <v>42</v>
      </c>
      <c r="F291" s="2" t="s">
        <v>48</v>
      </c>
      <c r="G291" s="2" t="s">
        <v>49</v>
      </c>
      <c r="H291" s="2">
        <v>80</v>
      </c>
      <c r="I291" s="3">
        <v>786</v>
      </c>
      <c r="J291" s="3">
        <v>62880</v>
      </c>
      <c r="K291" s="2">
        <v>0</v>
      </c>
      <c r="L291" s="3">
        <v>62880</v>
      </c>
      <c r="M291" s="3">
        <v>34955.67</v>
      </c>
      <c r="N291" s="3">
        <v>27924.33</v>
      </c>
      <c r="O291" s="4">
        <v>44.41</v>
      </c>
      <c r="P291" s="2" t="s">
        <v>39</v>
      </c>
    </row>
    <row r="292" spans="1:16" x14ac:dyDescent="0.3">
      <c r="A292" s="5">
        <v>1520</v>
      </c>
      <c r="B292" s="5" t="s">
        <v>73</v>
      </c>
      <c r="C292" s="5" t="s">
        <v>74</v>
      </c>
      <c r="D292" s="5" t="s">
        <v>56</v>
      </c>
      <c r="E292" s="5" t="s">
        <v>26</v>
      </c>
      <c r="F292" s="5" t="s">
        <v>20</v>
      </c>
      <c r="G292" s="5" t="s">
        <v>60</v>
      </c>
      <c r="H292" s="5">
        <v>102</v>
      </c>
      <c r="I292" s="6">
        <v>83</v>
      </c>
      <c r="J292" s="6">
        <v>8466</v>
      </c>
      <c r="K292" s="5">
        <v>20</v>
      </c>
      <c r="L292" s="6">
        <v>6772.8</v>
      </c>
      <c r="M292" s="6">
        <v>4373.28</v>
      </c>
      <c r="N292" s="6">
        <v>2399.52</v>
      </c>
      <c r="O292" s="7">
        <v>35.43</v>
      </c>
      <c r="P292" s="5" t="s">
        <v>29</v>
      </c>
    </row>
    <row r="293" spans="1:16" x14ac:dyDescent="0.3">
      <c r="A293" s="2">
        <v>1052</v>
      </c>
      <c r="B293" s="2" t="s">
        <v>62</v>
      </c>
      <c r="C293" s="2" t="s">
        <v>63</v>
      </c>
      <c r="D293" s="2" t="s">
        <v>25</v>
      </c>
      <c r="E293" s="2" t="s">
        <v>42</v>
      </c>
      <c r="F293" s="2" t="s">
        <v>27</v>
      </c>
      <c r="G293" s="2" t="s">
        <v>28</v>
      </c>
      <c r="H293" s="2">
        <v>72</v>
      </c>
      <c r="I293" s="3">
        <v>7412</v>
      </c>
      <c r="J293" s="3">
        <v>533664</v>
      </c>
      <c r="K293" s="2">
        <v>10</v>
      </c>
      <c r="L293" s="3">
        <v>480297.6</v>
      </c>
      <c r="M293" s="3">
        <v>327625.21999999997</v>
      </c>
      <c r="N293" s="3">
        <v>152672.38</v>
      </c>
      <c r="O293" s="4">
        <v>31.79</v>
      </c>
      <c r="P293" s="2" t="s">
        <v>45</v>
      </c>
    </row>
    <row r="294" spans="1:16" x14ac:dyDescent="0.3">
      <c r="A294" s="5">
        <v>2017</v>
      </c>
      <c r="B294" s="5" t="s">
        <v>76</v>
      </c>
      <c r="C294" s="5" t="s">
        <v>77</v>
      </c>
      <c r="D294" s="5" t="s">
        <v>36</v>
      </c>
      <c r="E294" s="5" t="s">
        <v>26</v>
      </c>
      <c r="F294" s="5" t="s">
        <v>20</v>
      </c>
      <c r="G294" s="5" t="s">
        <v>80</v>
      </c>
      <c r="H294" s="5">
        <v>56</v>
      </c>
      <c r="I294" s="6">
        <v>80</v>
      </c>
      <c r="J294" s="6">
        <v>4480</v>
      </c>
      <c r="K294" s="5">
        <v>0</v>
      </c>
      <c r="L294" s="6">
        <v>4480</v>
      </c>
      <c r="M294" s="6">
        <v>2535.1799999999998</v>
      </c>
      <c r="N294" s="6">
        <v>1944.82</v>
      </c>
      <c r="O294" s="7">
        <v>43.41</v>
      </c>
      <c r="P294" s="5" t="s">
        <v>43</v>
      </c>
    </row>
    <row r="295" spans="1:16" x14ac:dyDescent="0.3">
      <c r="A295" s="2">
        <v>1081</v>
      </c>
      <c r="B295" s="2" t="s">
        <v>62</v>
      </c>
      <c r="C295" s="2" t="s">
        <v>63</v>
      </c>
      <c r="D295" s="2" t="s">
        <v>25</v>
      </c>
      <c r="E295" s="2" t="s">
        <v>44</v>
      </c>
      <c r="F295" s="2" t="s">
        <v>37</v>
      </c>
      <c r="G295" s="2" t="s">
        <v>59</v>
      </c>
      <c r="H295" s="2">
        <v>69</v>
      </c>
      <c r="I295" s="3">
        <v>513</v>
      </c>
      <c r="J295" s="3">
        <v>35397</v>
      </c>
      <c r="K295" s="2">
        <v>10</v>
      </c>
      <c r="L295" s="3">
        <v>31857.3</v>
      </c>
      <c r="M295" s="3">
        <v>17967.77</v>
      </c>
      <c r="N295" s="3">
        <v>13889.53</v>
      </c>
      <c r="O295" s="4">
        <v>43.6</v>
      </c>
      <c r="P295" s="2" t="s">
        <v>45</v>
      </c>
    </row>
    <row r="296" spans="1:16" x14ac:dyDescent="0.3">
      <c r="A296" s="5">
        <v>1838</v>
      </c>
      <c r="B296" s="5" t="s">
        <v>70</v>
      </c>
      <c r="C296" s="5" t="s">
        <v>71</v>
      </c>
      <c r="D296" s="5" t="s">
        <v>18</v>
      </c>
      <c r="E296" s="5" t="s">
        <v>19</v>
      </c>
      <c r="F296" s="5" t="s">
        <v>32</v>
      </c>
      <c r="G296" s="5" t="s">
        <v>81</v>
      </c>
      <c r="H296" s="5">
        <v>27</v>
      </c>
      <c r="I296" s="6">
        <v>14879</v>
      </c>
      <c r="J296" s="6">
        <v>401733</v>
      </c>
      <c r="K296" s="5">
        <v>20</v>
      </c>
      <c r="L296" s="6">
        <v>321386.40000000002</v>
      </c>
      <c r="M296" s="6">
        <v>217207.63</v>
      </c>
      <c r="N296" s="6">
        <v>104178.77</v>
      </c>
      <c r="O296" s="7">
        <v>32.42</v>
      </c>
      <c r="P296" s="5" t="s">
        <v>29</v>
      </c>
    </row>
    <row r="297" spans="1:16" x14ac:dyDescent="0.3">
      <c r="A297" s="5">
        <v>1067</v>
      </c>
      <c r="B297" s="5" t="s">
        <v>62</v>
      </c>
      <c r="C297" s="5" t="s">
        <v>63</v>
      </c>
      <c r="D297" s="5" t="s">
        <v>25</v>
      </c>
      <c r="E297" s="5" t="s">
        <v>42</v>
      </c>
      <c r="F297" s="5" t="s">
        <v>20</v>
      </c>
      <c r="G297" s="5" t="s">
        <v>80</v>
      </c>
      <c r="H297" s="5">
        <v>58</v>
      </c>
      <c r="I297" s="6">
        <v>73</v>
      </c>
      <c r="J297" s="6">
        <v>4234</v>
      </c>
      <c r="K297" s="5">
        <v>20</v>
      </c>
      <c r="L297" s="6">
        <v>3387.2</v>
      </c>
      <c r="M297" s="6">
        <v>1975.97</v>
      </c>
      <c r="N297" s="6">
        <v>1411.23</v>
      </c>
      <c r="O297" s="7">
        <v>41.66</v>
      </c>
      <c r="P297" s="5" t="s">
        <v>39</v>
      </c>
    </row>
    <row r="298" spans="1:16" x14ac:dyDescent="0.3">
      <c r="A298" s="2">
        <v>1248</v>
      </c>
      <c r="B298" s="2" t="s">
        <v>52</v>
      </c>
      <c r="C298" s="2" t="s">
        <v>53</v>
      </c>
      <c r="D298" s="2" t="s">
        <v>25</v>
      </c>
      <c r="E298" s="2" t="s">
        <v>19</v>
      </c>
      <c r="F298" s="2" t="s">
        <v>48</v>
      </c>
      <c r="G298" s="2" t="s">
        <v>49</v>
      </c>
      <c r="H298" s="2">
        <v>109</v>
      </c>
      <c r="I298" s="3">
        <v>732</v>
      </c>
      <c r="J298" s="3">
        <v>79788</v>
      </c>
      <c r="K298" s="2">
        <v>0</v>
      </c>
      <c r="L298" s="3">
        <v>79788</v>
      </c>
      <c r="M298" s="3">
        <v>51243.94</v>
      </c>
      <c r="N298" s="3">
        <v>28544.06</v>
      </c>
      <c r="O298" s="4">
        <v>35.770000000000003</v>
      </c>
      <c r="P298" s="2" t="s">
        <v>22</v>
      </c>
    </row>
    <row r="299" spans="1:16" x14ac:dyDescent="0.3">
      <c r="A299" s="5">
        <v>1390</v>
      </c>
      <c r="B299" s="5" t="s">
        <v>57</v>
      </c>
      <c r="C299" s="5" t="s">
        <v>58</v>
      </c>
      <c r="D299" s="5" t="s">
        <v>56</v>
      </c>
      <c r="E299" s="5" t="s">
        <v>44</v>
      </c>
      <c r="F299" s="5" t="s">
        <v>32</v>
      </c>
      <c r="G299" s="5" t="s">
        <v>65</v>
      </c>
      <c r="H299" s="5">
        <v>88</v>
      </c>
      <c r="I299" s="6">
        <v>5228</v>
      </c>
      <c r="J299" s="6">
        <v>460064</v>
      </c>
      <c r="K299" s="5">
        <v>5</v>
      </c>
      <c r="L299" s="6">
        <v>437060.8</v>
      </c>
      <c r="M299" s="6">
        <v>295113.61</v>
      </c>
      <c r="N299" s="6">
        <v>141947.19</v>
      </c>
      <c r="O299" s="7">
        <v>32.479999999999997</v>
      </c>
      <c r="P299" s="5" t="s">
        <v>43</v>
      </c>
    </row>
    <row r="300" spans="1:16" x14ac:dyDescent="0.3">
      <c r="A300" s="2">
        <v>1145</v>
      </c>
      <c r="B300" s="2" t="s">
        <v>23</v>
      </c>
      <c r="C300" s="2" t="s">
        <v>24</v>
      </c>
      <c r="D300" s="2" t="s">
        <v>25</v>
      </c>
      <c r="E300" s="2" t="s">
        <v>19</v>
      </c>
      <c r="F300" s="2" t="s">
        <v>20</v>
      </c>
      <c r="G300" s="2" t="s">
        <v>60</v>
      </c>
      <c r="H300" s="2">
        <v>65</v>
      </c>
      <c r="I300" s="3">
        <v>93</v>
      </c>
      <c r="J300" s="3">
        <v>6045</v>
      </c>
      <c r="K300" s="2">
        <v>5</v>
      </c>
      <c r="L300" s="3">
        <v>5742.75</v>
      </c>
      <c r="M300" s="3">
        <v>3314.85</v>
      </c>
      <c r="N300" s="3">
        <v>2427.9</v>
      </c>
      <c r="O300" s="4">
        <v>42.28</v>
      </c>
      <c r="P300" s="2" t="s">
        <v>22</v>
      </c>
    </row>
    <row r="301" spans="1:16" x14ac:dyDescent="0.3">
      <c r="A301" s="5">
        <v>1107</v>
      </c>
      <c r="B301" s="5" t="s">
        <v>23</v>
      </c>
      <c r="C301" s="5" t="s">
        <v>24</v>
      </c>
      <c r="D301" s="5" t="s">
        <v>25</v>
      </c>
      <c r="E301" s="5" t="s">
        <v>26</v>
      </c>
      <c r="F301" s="5" t="s">
        <v>37</v>
      </c>
      <c r="G301" s="5" t="s">
        <v>79</v>
      </c>
      <c r="H301" s="5">
        <v>111</v>
      </c>
      <c r="I301" s="6">
        <v>1120</v>
      </c>
      <c r="J301" s="6">
        <v>124320</v>
      </c>
      <c r="K301" s="5">
        <v>0</v>
      </c>
      <c r="L301" s="6">
        <v>124320</v>
      </c>
      <c r="M301" s="6">
        <v>82880.259999999995</v>
      </c>
      <c r="N301" s="6">
        <v>41439.74</v>
      </c>
      <c r="O301" s="7">
        <v>33.33</v>
      </c>
      <c r="P301" s="5" t="s">
        <v>61</v>
      </c>
    </row>
    <row r="302" spans="1:16" x14ac:dyDescent="0.3">
      <c r="A302" s="2">
        <v>1326</v>
      </c>
      <c r="B302" s="2" t="s">
        <v>57</v>
      </c>
      <c r="C302" s="2" t="s">
        <v>58</v>
      </c>
      <c r="D302" s="2" t="s">
        <v>56</v>
      </c>
      <c r="E302" s="2" t="s">
        <v>19</v>
      </c>
      <c r="F302" s="2" t="s">
        <v>27</v>
      </c>
      <c r="G302" s="2" t="s">
        <v>85</v>
      </c>
      <c r="H302" s="2">
        <v>139</v>
      </c>
      <c r="I302" s="3">
        <v>11114</v>
      </c>
      <c r="J302" s="3">
        <v>1544846</v>
      </c>
      <c r="K302" s="2">
        <v>10</v>
      </c>
      <c r="L302" s="3">
        <v>1390361.4</v>
      </c>
      <c r="M302" s="3">
        <v>872100.05</v>
      </c>
      <c r="N302" s="3">
        <v>518261.35</v>
      </c>
      <c r="O302" s="4">
        <v>37.28</v>
      </c>
      <c r="P302" s="2" t="s">
        <v>29</v>
      </c>
    </row>
    <row r="303" spans="1:16" x14ac:dyDescent="0.3">
      <c r="A303" s="5">
        <v>1376</v>
      </c>
      <c r="B303" s="5" t="s">
        <v>57</v>
      </c>
      <c r="C303" s="5" t="s">
        <v>58</v>
      </c>
      <c r="D303" s="5" t="s">
        <v>56</v>
      </c>
      <c r="E303" s="5" t="s">
        <v>44</v>
      </c>
      <c r="F303" s="5" t="s">
        <v>27</v>
      </c>
      <c r="G303" s="5" t="s">
        <v>85</v>
      </c>
      <c r="H303" s="5">
        <v>48</v>
      </c>
      <c r="I303" s="6">
        <v>11121</v>
      </c>
      <c r="J303" s="6">
        <v>533808</v>
      </c>
      <c r="K303" s="5">
        <v>0</v>
      </c>
      <c r="L303" s="6">
        <v>533808</v>
      </c>
      <c r="M303" s="6">
        <v>330025.09000000003</v>
      </c>
      <c r="N303" s="6">
        <v>203782.91</v>
      </c>
      <c r="O303" s="7">
        <v>38.18</v>
      </c>
      <c r="P303" s="5" t="s">
        <v>41</v>
      </c>
    </row>
    <row r="304" spans="1:16" x14ac:dyDescent="0.3">
      <c r="A304" s="2">
        <v>1721</v>
      </c>
      <c r="B304" s="2" t="s">
        <v>30</v>
      </c>
      <c r="C304" s="2" t="s">
        <v>31</v>
      </c>
      <c r="D304" s="2" t="s">
        <v>18</v>
      </c>
      <c r="E304" s="2" t="s">
        <v>26</v>
      </c>
      <c r="F304" s="2" t="s">
        <v>48</v>
      </c>
      <c r="G304" s="2" t="s">
        <v>69</v>
      </c>
      <c r="H304" s="2">
        <v>169</v>
      </c>
      <c r="I304" s="3">
        <v>1173</v>
      </c>
      <c r="J304" s="3">
        <v>198237</v>
      </c>
      <c r="K304" s="2">
        <v>10</v>
      </c>
      <c r="L304" s="3">
        <v>178413.3</v>
      </c>
      <c r="M304" s="3">
        <v>123974.94</v>
      </c>
      <c r="N304" s="3">
        <v>54438.36</v>
      </c>
      <c r="O304" s="4">
        <v>30.51</v>
      </c>
      <c r="P304" s="2" t="s">
        <v>43</v>
      </c>
    </row>
    <row r="305" spans="1:16" x14ac:dyDescent="0.3">
      <c r="A305" s="5">
        <v>1934</v>
      </c>
      <c r="B305" s="5" t="s">
        <v>34</v>
      </c>
      <c r="C305" s="5" t="s">
        <v>35</v>
      </c>
      <c r="D305" s="5" t="s">
        <v>36</v>
      </c>
      <c r="E305" s="5" t="s">
        <v>19</v>
      </c>
      <c r="F305" s="5" t="s">
        <v>37</v>
      </c>
      <c r="G305" s="5" t="s">
        <v>82</v>
      </c>
      <c r="H305" s="5">
        <v>26</v>
      </c>
      <c r="I305" s="6">
        <v>1413</v>
      </c>
      <c r="J305" s="6">
        <v>36738</v>
      </c>
      <c r="K305" s="5">
        <v>5</v>
      </c>
      <c r="L305" s="6">
        <v>34901.1</v>
      </c>
      <c r="M305" s="6">
        <v>20262.54</v>
      </c>
      <c r="N305" s="6">
        <v>14638.56</v>
      </c>
      <c r="O305" s="7">
        <v>41.94</v>
      </c>
      <c r="P305" s="5" t="s">
        <v>50</v>
      </c>
    </row>
    <row r="306" spans="1:16" x14ac:dyDescent="0.3">
      <c r="A306" s="2">
        <v>2125</v>
      </c>
      <c r="B306" s="2" t="s">
        <v>46</v>
      </c>
      <c r="C306" s="2" t="s">
        <v>47</v>
      </c>
      <c r="D306" s="2" t="s">
        <v>36</v>
      </c>
      <c r="E306" s="2" t="s">
        <v>26</v>
      </c>
      <c r="F306" s="2" t="s">
        <v>48</v>
      </c>
      <c r="G306" s="2" t="s">
        <v>72</v>
      </c>
      <c r="H306" s="2">
        <v>105</v>
      </c>
      <c r="I306" s="3">
        <v>3172</v>
      </c>
      <c r="J306" s="3">
        <v>333060</v>
      </c>
      <c r="K306" s="2">
        <v>0</v>
      </c>
      <c r="L306" s="3">
        <v>333060</v>
      </c>
      <c r="M306" s="3">
        <v>197201.7</v>
      </c>
      <c r="N306" s="3">
        <v>135858.29999999999</v>
      </c>
      <c r="O306" s="4">
        <v>40.79</v>
      </c>
      <c r="P306" s="2" t="s">
        <v>29</v>
      </c>
    </row>
    <row r="307" spans="1:16" x14ac:dyDescent="0.3">
      <c r="A307" s="5">
        <v>1652</v>
      </c>
      <c r="B307" s="5" t="s">
        <v>16</v>
      </c>
      <c r="C307" s="5" t="s">
        <v>17</v>
      </c>
      <c r="D307" s="5" t="s">
        <v>18</v>
      </c>
      <c r="E307" s="5" t="s">
        <v>42</v>
      </c>
      <c r="F307" s="5" t="s">
        <v>27</v>
      </c>
      <c r="G307" s="5" t="s">
        <v>28</v>
      </c>
      <c r="H307" s="5">
        <v>98</v>
      </c>
      <c r="I307" s="6">
        <v>7511</v>
      </c>
      <c r="J307" s="6">
        <v>736078</v>
      </c>
      <c r="K307" s="5">
        <v>0</v>
      </c>
      <c r="L307" s="6">
        <v>736078</v>
      </c>
      <c r="M307" s="6">
        <v>500624.8</v>
      </c>
      <c r="N307" s="6">
        <v>235453.2</v>
      </c>
      <c r="O307" s="7">
        <v>31.99</v>
      </c>
      <c r="P307" s="5" t="s">
        <v>22</v>
      </c>
    </row>
    <row r="308" spans="1:16" x14ac:dyDescent="0.3">
      <c r="A308" s="2">
        <v>1833</v>
      </c>
      <c r="B308" s="2" t="s">
        <v>70</v>
      </c>
      <c r="C308" s="2" t="s">
        <v>71</v>
      </c>
      <c r="D308" s="2" t="s">
        <v>18</v>
      </c>
      <c r="E308" s="2" t="s">
        <v>19</v>
      </c>
      <c r="F308" s="2" t="s">
        <v>37</v>
      </c>
      <c r="G308" s="2" t="s">
        <v>38</v>
      </c>
      <c r="H308" s="2">
        <v>67</v>
      </c>
      <c r="I308" s="3">
        <v>1960</v>
      </c>
      <c r="J308" s="3">
        <v>131320</v>
      </c>
      <c r="K308" s="2">
        <v>20</v>
      </c>
      <c r="L308" s="3">
        <v>105056</v>
      </c>
      <c r="M308" s="3">
        <v>60615.57</v>
      </c>
      <c r="N308" s="3">
        <v>44440.43</v>
      </c>
      <c r="O308" s="4">
        <v>42.3</v>
      </c>
      <c r="P308" s="2" t="s">
        <v>61</v>
      </c>
    </row>
    <row r="309" spans="1:16" x14ac:dyDescent="0.3">
      <c r="A309" s="5">
        <v>1240</v>
      </c>
      <c r="B309" s="5" t="s">
        <v>52</v>
      </c>
      <c r="C309" s="5" t="s">
        <v>53</v>
      </c>
      <c r="D309" s="5" t="s">
        <v>25</v>
      </c>
      <c r="E309" s="5" t="s">
        <v>19</v>
      </c>
      <c r="F309" s="5" t="s">
        <v>32</v>
      </c>
      <c r="G309" s="5" t="s">
        <v>65</v>
      </c>
      <c r="H309" s="5">
        <v>99</v>
      </c>
      <c r="I309" s="6">
        <v>4722</v>
      </c>
      <c r="J309" s="6">
        <v>467478</v>
      </c>
      <c r="K309" s="5">
        <v>0</v>
      </c>
      <c r="L309" s="6">
        <v>467478</v>
      </c>
      <c r="M309" s="6">
        <v>262468.75</v>
      </c>
      <c r="N309" s="6">
        <v>205009.25</v>
      </c>
      <c r="O309" s="7">
        <v>43.85</v>
      </c>
      <c r="P309" s="5" t="s">
        <v>29</v>
      </c>
    </row>
    <row r="310" spans="1:16" x14ac:dyDescent="0.3">
      <c r="A310" s="2">
        <v>1424</v>
      </c>
      <c r="B310" s="2" t="s">
        <v>54</v>
      </c>
      <c r="C310" s="2" t="s">
        <v>55</v>
      </c>
      <c r="D310" s="2" t="s">
        <v>56</v>
      </c>
      <c r="E310" s="2" t="s">
        <v>26</v>
      </c>
      <c r="F310" s="2" t="s">
        <v>48</v>
      </c>
      <c r="G310" s="2" t="s">
        <v>51</v>
      </c>
      <c r="H310" s="2">
        <v>145</v>
      </c>
      <c r="I310" s="3">
        <v>1907</v>
      </c>
      <c r="J310" s="3">
        <v>276515</v>
      </c>
      <c r="K310" s="2">
        <v>15</v>
      </c>
      <c r="L310" s="3">
        <v>235037.75</v>
      </c>
      <c r="M310" s="3">
        <v>132056.64000000001</v>
      </c>
      <c r="N310" s="3">
        <v>102981.11</v>
      </c>
      <c r="O310" s="4">
        <v>43.81</v>
      </c>
      <c r="P310" s="2" t="s">
        <v>22</v>
      </c>
    </row>
    <row r="311" spans="1:16" x14ac:dyDescent="0.3">
      <c r="A311" s="5">
        <v>2190</v>
      </c>
      <c r="B311" s="5" t="s">
        <v>46</v>
      </c>
      <c r="C311" s="5" t="s">
        <v>47</v>
      </c>
      <c r="D311" s="5" t="s">
        <v>36</v>
      </c>
      <c r="E311" s="5" t="s">
        <v>44</v>
      </c>
      <c r="F311" s="5" t="s">
        <v>32</v>
      </c>
      <c r="G311" s="5" t="s">
        <v>65</v>
      </c>
      <c r="H311" s="5">
        <v>191</v>
      </c>
      <c r="I311" s="6">
        <v>5185</v>
      </c>
      <c r="J311" s="6">
        <v>990335</v>
      </c>
      <c r="K311" s="5">
        <v>5</v>
      </c>
      <c r="L311" s="6">
        <v>940818.25</v>
      </c>
      <c r="M311" s="6">
        <v>555759.06999999995</v>
      </c>
      <c r="N311" s="6">
        <v>385059.18</v>
      </c>
      <c r="O311" s="7">
        <v>40.93</v>
      </c>
      <c r="P311" s="5" t="s">
        <v>41</v>
      </c>
    </row>
    <row r="312" spans="1:16" x14ac:dyDescent="0.3">
      <c r="A312" s="2">
        <v>1460</v>
      </c>
      <c r="B312" s="2" t="s">
        <v>54</v>
      </c>
      <c r="C312" s="2" t="s">
        <v>55</v>
      </c>
      <c r="D312" s="2" t="s">
        <v>56</v>
      </c>
      <c r="E312" s="2" t="s">
        <v>42</v>
      </c>
      <c r="F312" s="2" t="s">
        <v>37</v>
      </c>
      <c r="G312" s="2" t="s">
        <v>67</v>
      </c>
      <c r="H312" s="2">
        <v>37</v>
      </c>
      <c r="I312" s="3">
        <v>1709</v>
      </c>
      <c r="J312" s="3">
        <v>63233</v>
      </c>
      <c r="K312" s="2">
        <v>10</v>
      </c>
      <c r="L312" s="3">
        <v>56909.7</v>
      </c>
      <c r="M312" s="3">
        <v>32720.28</v>
      </c>
      <c r="N312" s="3">
        <v>24189.42</v>
      </c>
      <c r="O312" s="4">
        <v>42.5</v>
      </c>
      <c r="P312" s="2" t="s">
        <v>43</v>
      </c>
    </row>
    <row r="313" spans="1:16" x14ac:dyDescent="0.3">
      <c r="A313" s="5">
        <v>1113</v>
      </c>
      <c r="B313" s="5" t="s">
        <v>23</v>
      </c>
      <c r="C313" s="5" t="s">
        <v>24</v>
      </c>
      <c r="D313" s="5" t="s">
        <v>25</v>
      </c>
      <c r="E313" s="5" t="s">
        <v>26</v>
      </c>
      <c r="F313" s="5" t="s">
        <v>32</v>
      </c>
      <c r="G313" s="5" t="s">
        <v>81</v>
      </c>
      <c r="H313" s="5">
        <v>95</v>
      </c>
      <c r="I313" s="6">
        <v>14920</v>
      </c>
      <c r="J313" s="6">
        <v>1417400</v>
      </c>
      <c r="K313" s="5">
        <v>0</v>
      </c>
      <c r="L313" s="6">
        <v>1417400</v>
      </c>
      <c r="M313" s="6">
        <v>872158.92</v>
      </c>
      <c r="N313" s="6">
        <v>545241.07999999996</v>
      </c>
      <c r="O313" s="7">
        <v>38.47</v>
      </c>
      <c r="P313" s="5" t="s">
        <v>50</v>
      </c>
    </row>
    <row r="314" spans="1:16" x14ac:dyDescent="0.3">
      <c r="A314" s="2">
        <v>1683</v>
      </c>
      <c r="B314" s="2" t="s">
        <v>16</v>
      </c>
      <c r="C314" s="2" t="s">
        <v>17</v>
      </c>
      <c r="D314" s="2" t="s">
        <v>18</v>
      </c>
      <c r="E314" s="2" t="s">
        <v>44</v>
      </c>
      <c r="F314" s="2" t="s">
        <v>37</v>
      </c>
      <c r="G314" s="2" t="s">
        <v>38</v>
      </c>
      <c r="H314" s="2">
        <v>63</v>
      </c>
      <c r="I314" s="3">
        <v>1954</v>
      </c>
      <c r="J314" s="3">
        <v>123102</v>
      </c>
      <c r="K314" s="2">
        <v>20</v>
      </c>
      <c r="L314" s="3">
        <v>98481.600000000006</v>
      </c>
      <c r="M314" s="3">
        <v>65981.179999999993</v>
      </c>
      <c r="N314" s="3">
        <v>32500.42</v>
      </c>
      <c r="O314" s="4">
        <v>33</v>
      </c>
      <c r="P314" s="2" t="s">
        <v>61</v>
      </c>
    </row>
    <row r="315" spans="1:16" x14ac:dyDescent="0.3">
      <c r="A315" s="5">
        <v>1552</v>
      </c>
      <c r="B315" s="5" t="s">
        <v>73</v>
      </c>
      <c r="C315" s="5" t="s">
        <v>74</v>
      </c>
      <c r="D315" s="5" t="s">
        <v>56</v>
      </c>
      <c r="E315" s="5" t="s">
        <v>42</v>
      </c>
      <c r="F315" s="5" t="s">
        <v>27</v>
      </c>
      <c r="G315" s="5" t="s">
        <v>28</v>
      </c>
      <c r="H315" s="5">
        <v>58</v>
      </c>
      <c r="I315" s="6">
        <v>7618</v>
      </c>
      <c r="J315" s="6">
        <v>441844</v>
      </c>
      <c r="K315" s="5">
        <v>10</v>
      </c>
      <c r="L315" s="6">
        <v>397659.6</v>
      </c>
      <c r="M315" s="6">
        <v>273950.2</v>
      </c>
      <c r="N315" s="6">
        <v>123709.4</v>
      </c>
      <c r="O315" s="7">
        <v>31.11</v>
      </c>
      <c r="P315" s="5" t="s">
        <v>22</v>
      </c>
    </row>
    <row r="316" spans="1:16" x14ac:dyDescent="0.3">
      <c r="A316" s="2">
        <v>2150</v>
      </c>
      <c r="B316" s="2" t="s">
        <v>46</v>
      </c>
      <c r="C316" s="2" t="s">
        <v>47</v>
      </c>
      <c r="D316" s="2" t="s">
        <v>36</v>
      </c>
      <c r="E316" s="2" t="s">
        <v>19</v>
      </c>
      <c r="F316" s="2" t="s">
        <v>48</v>
      </c>
      <c r="G316" s="2" t="s">
        <v>72</v>
      </c>
      <c r="H316" s="2">
        <v>48</v>
      </c>
      <c r="I316" s="3">
        <v>3343</v>
      </c>
      <c r="J316" s="3">
        <v>160464</v>
      </c>
      <c r="K316" s="2">
        <v>0</v>
      </c>
      <c r="L316" s="3">
        <v>160464</v>
      </c>
      <c r="M316" s="3">
        <v>100201.63</v>
      </c>
      <c r="N316" s="3">
        <v>60262.37</v>
      </c>
      <c r="O316" s="4">
        <v>37.56</v>
      </c>
      <c r="P316" s="2" t="s">
        <v>45</v>
      </c>
    </row>
    <row r="317" spans="1:16" x14ac:dyDescent="0.3">
      <c r="A317" s="5">
        <v>1177</v>
      </c>
      <c r="B317" s="5" t="s">
        <v>23</v>
      </c>
      <c r="C317" s="5" t="s">
        <v>24</v>
      </c>
      <c r="D317" s="5" t="s">
        <v>25</v>
      </c>
      <c r="E317" s="5" t="s">
        <v>44</v>
      </c>
      <c r="F317" s="5" t="s">
        <v>27</v>
      </c>
      <c r="G317" s="5" t="s">
        <v>28</v>
      </c>
      <c r="H317" s="5">
        <v>93</v>
      </c>
      <c r="I317" s="6">
        <v>7931</v>
      </c>
      <c r="J317" s="6">
        <v>737583</v>
      </c>
      <c r="K317" s="5">
        <v>5</v>
      </c>
      <c r="L317" s="6">
        <v>700703.85</v>
      </c>
      <c r="M317" s="6">
        <v>406325.94</v>
      </c>
      <c r="N317" s="6">
        <v>294377.90999999997</v>
      </c>
      <c r="O317" s="7">
        <v>42.01</v>
      </c>
      <c r="P317" s="5" t="s">
        <v>22</v>
      </c>
    </row>
    <row r="318" spans="1:16" x14ac:dyDescent="0.3">
      <c r="A318" s="2">
        <v>1965</v>
      </c>
      <c r="B318" s="2" t="s">
        <v>34</v>
      </c>
      <c r="C318" s="2" t="s">
        <v>35</v>
      </c>
      <c r="D318" s="2" t="s">
        <v>36</v>
      </c>
      <c r="E318" s="2" t="s">
        <v>42</v>
      </c>
      <c r="F318" s="2" t="s">
        <v>32</v>
      </c>
      <c r="G318" s="2" t="s">
        <v>65</v>
      </c>
      <c r="H318" s="2">
        <v>56</v>
      </c>
      <c r="I318" s="3">
        <v>4940</v>
      </c>
      <c r="J318" s="3">
        <v>276640</v>
      </c>
      <c r="K318" s="2">
        <v>5</v>
      </c>
      <c r="L318" s="3">
        <v>262808</v>
      </c>
      <c r="M318" s="3">
        <v>175043.68</v>
      </c>
      <c r="N318" s="3">
        <v>87764.32</v>
      </c>
      <c r="O318" s="4">
        <v>33.39</v>
      </c>
      <c r="P318" s="2" t="s">
        <v>50</v>
      </c>
    </row>
    <row r="319" spans="1:16" x14ac:dyDescent="0.3">
      <c r="A319" s="5">
        <v>1542</v>
      </c>
      <c r="B319" s="5" t="s">
        <v>73</v>
      </c>
      <c r="C319" s="5" t="s">
        <v>74</v>
      </c>
      <c r="D319" s="5" t="s">
        <v>56</v>
      </c>
      <c r="E319" s="5" t="s">
        <v>19</v>
      </c>
      <c r="F319" s="5" t="s">
        <v>20</v>
      </c>
      <c r="G319" s="5" t="s">
        <v>80</v>
      </c>
      <c r="H319" s="5">
        <v>150</v>
      </c>
      <c r="I319" s="6">
        <v>73</v>
      </c>
      <c r="J319" s="6">
        <v>10950</v>
      </c>
      <c r="K319" s="5">
        <v>20</v>
      </c>
      <c r="L319" s="6">
        <v>8760</v>
      </c>
      <c r="M319" s="6">
        <v>5955.97</v>
      </c>
      <c r="N319" s="6">
        <v>2804.03</v>
      </c>
      <c r="O319" s="7">
        <v>32.01</v>
      </c>
      <c r="P319" s="5" t="s">
        <v>50</v>
      </c>
    </row>
    <row r="320" spans="1:16" x14ac:dyDescent="0.3">
      <c r="A320" s="2">
        <v>2156</v>
      </c>
      <c r="B320" s="2" t="s">
        <v>46</v>
      </c>
      <c r="C320" s="2" t="s">
        <v>47</v>
      </c>
      <c r="D320" s="2" t="s">
        <v>36</v>
      </c>
      <c r="E320" s="2" t="s">
        <v>42</v>
      </c>
      <c r="F320" s="2" t="s">
        <v>37</v>
      </c>
      <c r="G320" s="2" t="s">
        <v>59</v>
      </c>
      <c r="H320" s="2">
        <v>77</v>
      </c>
      <c r="I320" s="3">
        <v>487</v>
      </c>
      <c r="J320" s="3">
        <v>37499</v>
      </c>
      <c r="K320" s="2">
        <v>5</v>
      </c>
      <c r="L320" s="3">
        <v>35624.050000000003</v>
      </c>
      <c r="M320" s="3">
        <v>23706.47</v>
      </c>
      <c r="N320" s="3">
        <v>11917.58</v>
      </c>
      <c r="O320" s="4">
        <v>33.450000000000003</v>
      </c>
      <c r="P320" s="2" t="s">
        <v>43</v>
      </c>
    </row>
    <row r="321" spans="1:16" x14ac:dyDescent="0.3">
      <c r="A321" s="5">
        <v>2015</v>
      </c>
      <c r="B321" s="5" t="s">
        <v>76</v>
      </c>
      <c r="C321" s="5" t="s">
        <v>77</v>
      </c>
      <c r="D321" s="5" t="s">
        <v>36</v>
      </c>
      <c r="E321" s="5" t="s">
        <v>26</v>
      </c>
      <c r="F321" s="5" t="s">
        <v>32</v>
      </c>
      <c r="G321" s="5" t="s">
        <v>65</v>
      </c>
      <c r="H321" s="5">
        <v>140</v>
      </c>
      <c r="I321" s="6">
        <v>4771</v>
      </c>
      <c r="J321" s="6">
        <v>667940</v>
      </c>
      <c r="K321" s="5">
        <v>5</v>
      </c>
      <c r="L321" s="6">
        <v>634543</v>
      </c>
      <c r="M321" s="6">
        <v>403640.7</v>
      </c>
      <c r="N321" s="6">
        <v>230902.3</v>
      </c>
      <c r="O321" s="7">
        <v>36.39</v>
      </c>
      <c r="P321" s="5" t="s">
        <v>61</v>
      </c>
    </row>
    <row r="322" spans="1:16" x14ac:dyDescent="0.3">
      <c r="A322" s="2">
        <v>1375</v>
      </c>
      <c r="B322" s="2" t="s">
        <v>57</v>
      </c>
      <c r="C322" s="2" t="s">
        <v>58</v>
      </c>
      <c r="D322" s="2" t="s">
        <v>56</v>
      </c>
      <c r="E322" s="2" t="s">
        <v>42</v>
      </c>
      <c r="F322" s="2" t="s">
        <v>48</v>
      </c>
      <c r="G322" s="2" t="s">
        <v>72</v>
      </c>
      <c r="H322" s="2">
        <v>115</v>
      </c>
      <c r="I322" s="3">
        <v>3597</v>
      </c>
      <c r="J322" s="3">
        <v>413655</v>
      </c>
      <c r="K322" s="2">
        <v>5</v>
      </c>
      <c r="L322" s="3">
        <v>392972.25</v>
      </c>
      <c r="M322" s="3">
        <v>237799.92</v>
      </c>
      <c r="N322" s="3">
        <v>155172.32999999999</v>
      </c>
      <c r="O322" s="4">
        <v>39.49</v>
      </c>
      <c r="P322" s="2" t="s">
        <v>45</v>
      </c>
    </row>
    <row r="323" spans="1:16" x14ac:dyDescent="0.3">
      <c r="A323" s="5">
        <v>1768</v>
      </c>
      <c r="B323" s="5" t="s">
        <v>30</v>
      </c>
      <c r="C323" s="5" t="s">
        <v>31</v>
      </c>
      <c r="D323" s="5" t="s">
        <v>18</v>
      </c>
      <c r="E323" s="5" t="s">
        <v>42</v>
      </c>
      <c r="F323" s="5" t="s">
        <v>20</v>
      </c>
      <c r="G323" s="5" t="s">
        <v>21</v>
      </c>
      <c r="H323" s="5">
        <v>133</v>
      </c>
      <c r="I323" s="6">
        <v>120</v>
      </c>
      <c r="J323" s="6">
        <v>15960</v>
      </c>
      <c r="K323" s="5">
        <v>10</v>
      </c>
      <c r="L323" s="6">
        <v>14364</v>
      </c>
      <c r="M323" s="6">
        <v>7987.29</v>
      </c>
      <c r="N323" s="6">
        <v>6376.71</v>
      </c>
      <c r="O323" s="7">
        <v>44.39</v>
      </c>
      <c r="P323" s="5" t="s">
        <v>39</v>
      </c>
    </row>
    <row r="324" spans="1:16" x14ac:dyDescent="0.3">
      <c r="A324" s="2">
        <v>1522</v>
      </c>
      <c r="B324" s="2" t="s">
        <v>73</v>
      </c>
      <c r="C324" s="2" t="s">
        <v>74</v>
      </c>
      <c r="D324" s="2" t="s">
        <v>56</v>
      </c>
      <c r="E324" s="2" t="s">
        <v>26</v>
      </c>
      <c r="F324" s="2" t="s">
        <v>48</v>
      </c>
      <c r="G324" s="2" t="s">
        <v>78</v>
      </c>
      <c r="H324" s="2">
        <v>85</v>
      </c>
      <c r="I324" s="3">
        <v>641</v>
      </c>
      <c r="J324" s="3">
        <v>54485</v>
      </c>
      <c r="K324" s="2">
        <v>15</v>
      </c>
      <c r="L324" s="3">
        <v>46312.25</v>
      </c>
      <c r="M324" s="3">
        <v>28010.2</v>
      </c>
      <c r="N324" s="3">
        <v>18302.05</v>
      </c>
      <c r="O324" s="4">
        <v>39.520000000000003</v>
      </c>
      <c r="P324" s="2" t="s">
        <v>61</v>
      </c>
    </row>
    <row r="325" spans="1:16" x14ac:dyDescent="0.3">
      <c r="A325" s="5">
        <v>1854</v>
      </c>
      <c r="B325" s="5" t="s">
        <v>70</v>
      </c>
      <c r="C325" s="5" t="s">
        <v>71</v>
      </c>
      <c r="D325" s="5" t="s">
        <v>18</v>
      </c>
      <c r="E325" s="5" t="s">
        <v>42</v>
      </c>
      <c r="F325" s="5" t="s">
        <v>27</v>
      </c>
      <c r="G325" s="5" t="s">
        <v>66</v>
      </c>
      <c r="H325" s="5">
        <v>26</v>
      </c>
      <c r="I325" s="6">
        <v>826</v>
      </c>
      <c r="J325" s="6">
        <v>21476</v>
      </c>
      <c r="K325" s="5">
        <v>10</v>
      </c>
      <c r="L325" s="6">
        <v>19328.400000000001</v>
      </c>
      <c r="M325" s="6">
        <v>13136.28</v>
      </c>
      <c r="N325" s="6">
        <v>6192.12</v>
      </c>
      <c r="O325" s="7">
        <v>32.04</v>
      </c>
      <c r="P325" s="5" t="s">
        <v>39</v>
      </c>
    </row>
    <row r="326" spans="1:16" x14ac:dyDescent="0.3">
      <c r="A326" s="2">
        <v>1319</v>
      </c>
      <c r="B326" s="2" t="s">
        <v>57</v>
      </c>
      <c r="C326" s="2" t="s">
        <v>58</v>
      </c>
      <c r="D326" s="2" t="s">
        <v>56</v>
      </c>
      <c r="E326" s="2" t="s">
        <v>26</v>
      </c>
      <c r="F326" s="2" t="s">
        <v>20</v>
      </c>
      <c r="G326" s="2" t="s">
        <v>68</v>
      </c>
      <c r="H326" s="2">
        <v>46</v>
      </c>
      <c r="I326" s="3">
        <v>154</v>
      </c>
      <c r="J326" s="3">
        <v>7084</v>
      </c>
      <c r="K326" s="2">
        <v>10</v>
      </c>
      <c r="L326" s="3">
        <v>6375.6</v>
      </c>
      <c r="M326" s="3">
        <v>4312.33</v>
      </c>
      <c r="N326" s="3">
        <v>2063.27</v>
      </c>
      <c r="O326" s="4">
        <v>32.36</v>
      </c>
      <c r="P326" s="2" t="s">
        <v>43</v>
      </c>
    </row>
    <row r="327" spans="1:16" x14ac:dyDescent="0.3">
      <c r="A327" s="5">
        <v>1523</v>
      </c>
      <c r="B327" s="5" t="s">
        <v>73</v>
      </c>
      <c r="C327" s="5" t="s">
        <v>74</v>
      </c>
      <c r="D327" s="5" t="s">
        <v>56</v>
      </c>
      <c r="E327" s="5" t="s">
        <v>26</v>
      </c>
      <c r="F327" s="5" t="s">
        <v>48</v>
      </c>
      <c r="G327" s="5" t="s">
        <v>49</v>
      </c>
      <c r="H327" s="5">
        <v>144</v>
      </c>
      <c r="I327" s="6">
        <v>873</v>
      </c>
      <c r="J327" s="6">
        <v>125712</v>
      </c>
      <c r="K327" s="5">
        <v>0</v>
      </c>
      <c r="L327" s="6">
        <v>125712</v>
      </c>
      <c r="M327" s="6">
        <v>69456.31</v>
      </c>
      <c r="N327" s="6">
        <v>56255.69</v>
      </c>
      <c r="O327" s="7">
        <v>44.75</v>
      </c>
      <c r="P327" s="5" t="s">
        <v>29</v>
      </c>
    </row>
    <row r="328" spans="1:16" x14ac:dyDescent="0.3">
      <c r="A328" s="2">
        <v>1895</v>
      </c>
      <c r="B328" s="2" t="s">
        <v>70</v>
      </c>
      <c r="C328" s="2" t="s">
        <v>71</v>
      </c>
      <c r="D328" s="2" t="s">
        <v>18</v>
      </c>
      <c r="E328" s="2" t="s">
        <v>44</v>
      </c>
      <c r="F328" s="2" t="s">
        <v>20</v>
      </c>
      <c r="G328" s="2" t="s">
        <v>60</v>
      </c>
      <c r="H328" s="2">
        <v>36</v>
      </c>
      <c r="I328" s="3">
        <v>90</v>
      </c>
      <c r="J328" s="3">
        <v>3240</v>
      </c>
      <c r="K328" s="2">
        <v>0</v>
      </c>
      <c r="L328" s="3">
        <v>3240</v>
      </c>
      <c r="M328" s="3">
        <v>1803.28</v>
      </c>
      <c r="N328" s="3">
        <v>1436.72</v>
      </c>
      <c r="O328" s="4">
        <v>44.34</v>
      </c>
      <c r="P328" s="2" t="s">
        <v>61</v>
      </c>
    </row>
    <row r="329" spans="1:16" x14ac:dyDescent="0.3">
      <c r="A329" s="5">
        <v>1386</v>
      </c>
      <c r="B329" s="5" t="s">
        <v>57</v>
      </c>
      <c r="C329" s="5" t="s">
        <v>58</v>
      </c>
      <c r="D329" s="5" t="s">
        <v>56</v>
      </c>
      <c r="E329" s="5" t="s">
        <v>44</v>
      </c>
      <c r="F329" s="5" t="s">
        <v>32</v>
      </c>
      <c r="G329" s="5" t="s">
        <v>40</v>
      </c>
      <c r="H329" s="5">
        <v>148</v>
      </c>
      <c r="I329" s="6">
        <v>17899</v>
      </c>
      <c r="J329" s="6">
        <v>2649052</v>
      </c>
      <c r="K329" s="5">
        <v>5</v>
      </c>
      <c r="L329" s="6">
        <v>2516599.4</v>
      </c>
      <c r="M329" s="6">
        <v>1538472.81</v>
      </c>
      <c r="N329" s="6">
        <v>978126.59</v>
      </c>
      <c r="O329" s="7">
        <v>38.869999999999997</v>
      </c>
      <c r="P329" s="5" t="s">
        <v>61</v>
      </c>
    </row>
    <row r="330" spans="1:16" x14ac:dyDescent="0.3">
      <c r="A330" s="2">
        <v>1579</v>
      </c>
      <c r="B330" s="2" t="s">
        <v>73</v>
      </c>
      <c r="C330" s="2" t="s">
        <v>74</v>
      </c>
      <c r="D330" s="2" t="s">
        <v>56</v>
      </c>
      <c r="E330" s="2" t="s">
        <v>44</v>
      </c>
      <c r="F330" s="2" t="s">
        <v>27</v>
      </c>
      <c r="G330" s="2" t="s">
        <v>66</v>
      </c>
      <c r="H330" s="2">
        <v>141</v>
      </c>
      <c r="I330" s="3">
        <v>850</v>
      </c>
      <c r="J330" s="3">
        <v>119850</v>
      </c>
      <c r="K330" s="2">
        <v>20</v>
      </c>
      <c r="L330" s="3">
        <v>95880</v>
      </c>
      <c r="M330" s="3">
        <v>60530.84</v>
      </c>
      <c r="N330" s="3">
        <v>35349.160000000003</v>
      </c>
      <c r="O330" s="4">
        <v>36.869999999999997</v>
      </c>
      <c r="P330" s="2" t="s">
        <v>61</v>
      </c>
    </row>
    <row r="331" spans="1:16" x14ac:dyDescent="0.3">
      <c r="A331" s="5">
        <v>1937</v>
      </c>
      <c r="B331" s="5" t="s">
        <v>34</v>
      </c>
      <c r="C331" s="5" t="s">
        <v>35</v>
      </c>
      <c r="D331" s="5" t="s">
        <v>36</v>
      </c>
      <c r="E331" s="5" t="s">
        <v>19</v>
      </c>
      <c r="F331" s="5" t="s">
        <v>32</v>
      </c>
      <c r="G331" s="5" t="s">
        <v>75</v>
      </c>
      <c r="H331" s="5">
        <v>64</v>
      </c>
      <c r="I331" s="6">
        <v>12694</v>
      </c>
      <c r="J331" s="6">
        <v>812416</v>
      </c>
      <c r="K331" s="5">
        <v>5</v>
      </c>
      <c r="L331" s="6">
        <v>771795.2</v>
      </c>
      <c r="M331" s="6">
        <v>430633</v>
      </c>
      <c r="N331" s="6">
        <v>341162.2</v>
      </c>
      <c r="O331" s="7">
        <v>44.2</v>
      </c>
      <c r="P331" s="5" t="s">
        <v>43</v>
      </c>
    </row>
    <row r="332" spans="1:16" x14ac:dyDescent="0.3">
      <c r="A332" s="2">
        <v>2066</v>
      </c>
      <c r="B332" s="2" t="s">
        <v>76</v>
      </c>
      <c r="C332" s="2" t="s">
        <v>77</v>
      </c>
      <c r="D332" s="2" t="s">
        <v>36</v>
      </c>
      <c r="E332" s="2" t="s">
        <v>42</v>
      </c>
      <c r="F332" s="2" t="s">
        <v>20</v>
      </c>
      <c r="G332" s="2" t="s">
        <v>64</v>
      </c>
      <c r="H332" s="2">
        <v>86</v>
      </c>
      <c r="I332" s="3">
        <v>210</v>
      </c>
      <c r="J332" s="3">
        <v>18060</v>
      </c>
      <c r="K332" s="2">
        <v>5</v>
      </c>
      <c r="L332" s="3">
        <v>17157</v>
      </c>
      <c r="M332" s="3">
        <v>10413.790000000001</v>
      </c>
      <c r="N332" s="3">
        <v>6743.21</v>
      </c>
      <c r="O332" s="4">
        <v>39.299999999999997</v>
      </c>
      <c r="P332" s="2" t="s">
        <v>22</v>
      </c>
    </row>
    <row r="333" spans="1:16" x14ac:dyDescent="0.3">
      <c r="A333" s="5">
        <v>1033</v>
      </c>
      <c r="B333" s="5" t="s">
        <v>62</v>
      </c>
      <c r="C333" s="5" t="s">
        <v>63</v>
      </c>
      <c r="D333" s="5" t="s">
        <v>25</v>
      </c>
      <c r="E333" s="5" t="s">
        <v>19</v>
      </c>
      <c r="F333" s="5" t="s">
        <v>37</v>
      </c>
      <c r="G333" s="5" t="s">
        <v>38</v>
      </c>
      <c r="H333" s="5">
        <v>73</v>
      </c>
      <c r="I333" s="6">
        <v>1803</v>
      </c>
      <c r="J333" s="6">
        <v>131619</v>
      </c>
      <c r="K333" s="5">
        <v>0</v>
      </c>
      <c r="L333" s="6">
        <v>131619</v>
      </c>
      <c r="M333" s="6">
        <v>76910.41</v>
      </c>
      <c r="N333" s="6">
        <v>54708.59</v>
      </c>
      <c r="O333" s="7">
        <v>41.57</v>
      </c>
      <c r="P333" s="5" t="s">
        <v>43</v>
      </c>
    </row>
    <row r="334" spans="1:16" x14ac:dyDescent="0.3">
      <c r="A334" s="2">
        <v>1471</v>
      </c>
      <c r="B334" s="2" t="s">
        <v>54</v>
      </c>
      <c r="C334" s="2" t="s">
        <v>55</v>
      </c>
      <c r="D334" s="2" t="s">
        <v>56</v>
      </c>
      <c r="E334" s="2" t="s">
        <v>42</v>
      </c>
      <c r="F334" s="2" t="s">
        <v>48</v>
      </c>
      <c r="G334" s="2" t="s">
        <v>69</v>
      </c>
      <c r="H334" s="2">
        <v>112</v>
      </c>
      <c r="I334" s="3">
        <v>1125</v>
      </c>
      <c r="J334" s="3">
        <v>126000</v>
      </c>
      <c r="K334" s="2">
        <v>15</v>
      </c>
      <c r="L334" s="3">
        <v>107100</v>
      </c>
      <c r="M334" s="3">
        <v>65260.03</v>
      </c>
      <c r="N334" s="3">
        <v>41839.97</v>
      </c>
      <c r="O334" s="4">
        <v>39.07</v>
      </c>
      <c r="P334" s="2" t="s">
        <v>45</v>
      </c>
    </row>
    <row r="335" spans="1:16" x14ac:dyDescent="0.3">
      <c r="A335" s="5">
        <v>1803</v>
      </c>
      <c r="B335" s="5" t="s">
        <v>70</v>
      </c>
      <c r="C335" s="5" t="s">
        <v>71</v>
      </c>
      <c r="D335" s="5" t="s">
        <v>18</v>
      </c>
      <c r="E335" s="5" t="s">
        <v>26</v>
      </c>
      <c r="F335" s="5" t="s">
        <v>27</v>
      </c>
      <c r="G335" s="5" t="s">
        <v>83</v>
      </c>
      <c r="H335" s="5">
        <v>143</v>
      </c>
      <c r="I335" s="6">
        <v>5323</v>
      </c>
      <c r="J335" s="6">
        <v>761189</v>
      </c>
      <c r="K335" s="5">
        <v>20</v>
      </c>
      <c r="L335" s="6">
        <v>608951.19999999995</v>
      </c>
      <c r="M335" s="6">
        <v>419493.86</v>
      </c>
      <c r="N335" s="6">
        <v>189457.34</v>
      </c>
      <c r="O335" s="7">
        <v>31.11</v>
      </c>
      <c r="P335" s="5" t="s">
        <v>22</v>
      </c>
    </row>
    <row r="336" spans="1:16" x14ac:dyDescent="0.3">
      <c r="A336" s="2">
        <v>1296</v>
      </c>
      <c r="B336" s="2" t="s">
        <v>52</v>
      </c>
      <c r="C336" s="2" t="s">
        <v>53</v>
      </c>
      <c r="D336" s="2" t="s">
        <v>25</v>
      </c>
      <c r="E336" s="2" t="s">
        <v>44</v>
      </c>
      <c r="F336" s="2" t="s">
        <v>48</v>
      </c>
      <c r="G336" s="2" t="s">
        <v>69</v>
      </c>
      <c r="H336" s="2">
        <v>30</v>
      </c>
      <c r="I336" s="3">
        <v>1159</v>
      </c>
      <c r="J336" s="3">
        <v>34770</v>
      </c>
      <c r="K336" s="2">
        <v>5</v>
      </c>
      <c r="L336" s="3">
        <v>33031.5</v>
      </c>
      <c r="M336" s="3">
        <v>19685.93</v>
      </c>
      <c r="N336" s="3">
        <v>13345.57</v>
      </c>
      <c r="O336" s="4">
        <v>40.4</v>
      </c>
      <c r="P336" s="2" t="s">
        <v>22</v>
      </c>
    </row>
    <row r="337" spans="1:16" x14ac:dyDescent="0.3">
      <c r="A337" s="5">
        <v>1385</v>
      </c>
      <c r="B337" s="5" t="s">
        <v>57</v>
      </c>
      <c r="C337" s="5" t="s">
        <v>58</v>
      </c>
      <c r="D337" s="5" t="s">
        <v>56</v>
      </c>
      <c r="E337" s="5" t="s">
        <v>44</v>
      </c>
      <c r="F337" s="5" t="s">
        <v>37</v>
      </c>
      <c r="G337" s="5" t="s">
        <v>67</v>
      </c>
      <c r="H337" s="5">
        <v>75</v>
      </c>
      <c r="I337" s="6">
        <v>1872</v>
      </c>
      <c r="J337" s="6">
        <v>140400</v>
      </c>
      <c r="K337" s="5">
        <v>0</v>
      </c>
      <c r="L337" s="6">
        <v>140400</v>
      </c>
      <c r="M337" s="6">
        <v>96902.31</v>
      </c>
      <c r="N337" s="6">
        <v>43497.69</v>
      </c>
      <c r="O337" s="7">
        <v>30.98</v>
      </c>
      <c r="P337" s="5" t="s">
        <v>29</v>
      </c>
    </row>
    <row r="338" spans="1:16" x14ac:dyDescent="0.3">
      <c r="A338" s="2">
        <v>1527</v>
      </c>
      <c r="B338" s="2" t="s">
        <v>73</v>
      </c>
      <c r="C338" s="2" t="s">
        <v>74</v>
      </c>
      <c r="D338" s="2" t="s">
        <v>56</v>
      </c>
      <c r="E338" s="2" t="s">
        <v>19</v>
      </c>
      <c r="F338" s="2" t="s">
        <v>27</v>
      </c>
      <c r="G338" s="2" t="s">
        <v>28</v>
      </c>
      <c r="H338" s="2">
        <v>31</v>
      </c>
      <c r="I338" s="3">
        <v>8673</v>
      </c>
      <c r="J338" s="3">
        <v>268863</v>
      </c>
      <c r="K338" s="2">
        <v>0</v>
      </c>
      <c r="L338" s="3">
        <v>268863</v>
      </c>
      <c r="M338" s="3">
        <v>169506.97</v>
      </c>
      <c r="N338" s="3">
        <v>99356.03</v>
      </c>
      <c r="O338" s="4">
        <v>36.950000000000003</v>
      </c>
      <c r="P338" s="2" t="s">
        <v>22</v>
      </c>
    </row>
    <row r="339" spans="1:16" x14ac:dyDescent="0.3">
      <c r="A339" s="5">
        <v>1857</v>
      </c>
      <c r="B339" s="5" t="s">
        <v>70</v>
      </c>
      <c r="C339" s="5" t="s">
        <v>71</v>
      </c>
      <c r="D339" s="5" t="s">
        <v>18</v>
      </c>
      <c r="E339" s="5" t="s">
        <v>42</v>
      </c>
      <c r="F339" s="5" t="s">
        <v>37</v>
      </c>
      <c r="G339" s="5" t="s">
        <v>79</v>
      </c>
      <c r="H339" s="5">
        <v>112</v>
      </c>
      <c r="I339" s="6">
        <v>1233</v>
      </c>
      <c r="J339" s="6">
        <v>138096</v>
      </c>
      <c r="K339" s="5">
        <v>15</v>
      </c>
      <c r="L339" s="6">
        <v>117381.6</v>
      </c>
      <c r="M339" s="6">
        <v>73776.56</v>
      </c>
      <c r="N339" s="6">
        <v>43605.04</v>
      </c>
      <c r="O339" s="7">
        <v>37.15</v>
      </c>
      <c r="P339" s="5" t="s">
        <v>50</v>
      </c>
    </row>
    <row r="340" spans="1:16" x14ac:dyDescent="0.3">
      <c r="A340" s="2">
        <v>1032</v>
      </c>
      <c r="B340" s="2" t="s">
        <v>62</v>
      </c>
      <c r="C340" s="2" t="s">
        <v>63</v>
      </c>
      <c r="D340" s="2" t="s">
        <v>25</v>
      </c>
      <c r="E340" s="2" t="s">
        <v>19</v>
      </c>
      <c r="F340" s="2" t="s">
        <v>37</v>
      </c>
      <c r="G340" s="2" t="s">
        <v>79</v>
      </c>
      <c r="H340" s="2">
        <v>27</v>
      </c>
      <c r="I340" s="3">
        <v>1134</v>
      </c>
      <c r="J340" s="3">
        <v>30618</v>
      </c>
      <c r="K340" s="2">
        <v>10</v>
      </c>
      <c r="L340" s="3">
        <v>27556.2</v>
      </c>
      <c r="M340" s="3">
        <v>15242.85</v>
      </c>
      <c r="N340" s="3">
        <v>12313.35</v>
      </c>
      <c r="O340" s="4">
        <v>44.68</v>
      </c>
      <c r="P340" s="2" t="s">
        <v>45</v>
      </c>
    </row>
    <row r="341" spans="1:16" x14ac:dyDescent="0.3">
      <c r="A341" s="5">
        <v>2112</v>
      </c>
      <c r="B341" s="5" t="s">
        <v>46</v>
      </c>
      <c r="C341" s="5" t="s">
        <v>47</v>
      </c>
      <c r="D341" s="5" t="s">
        <v>36</v>
      </c>
      <c r="E341" s="5" t="s">
        <v>26</v>
      </c>
      <c r="F341" s="5" t="s">
        <v>32</v>
      </c>
      <c r="G341" s="5" t="s">
        <v>75</v>
      </c>
      <c r="H341" s="5">
        <v>164</v>
      </c>
      <c r="I341" s="6">
        <v>11011</v>
      </c>
      <c r="J341" s="6">
        <v>1805804</v>
      </c>
      <c r="K341" s="5">
        <v>5</v>
      </c>
      <c r="L341" s="6">
        <v>1715513.8</v>
      </c>
      <c r="M341" s="6">
        <v>1033044.73</v>
      </c>
      <c r="N341" s="6">
        <v>682469.07</v>
      </c>
      <c r="O341" s="7">
        <v>39.78</v>
      </c>
      <c r="P341" s="5" t="s">
        <v>43</v>
      </c>
    </row>
    <row r="342" spans="1:16" x14ac:dyDescent="0.3">
      <c r="A342" s="2">
        <v>1622</v>
      </c>
      <c r="B342" s="2" t="s">
        <v>16</v>
      </c>
      <c r="C342" s="2" t="s">
        <v>17</v>
      </c>
      <c r="D342" s="2" t="s">
        <v>18</v>
      </c>
      <c r="E342" s="2" t="s">
        <v>26</v>
      </c>
      <c r="F342" s="2" t="s">
        <v>48</v>
      </c>
      <c r="G342" s="2" t="s">
        <v>78</v>
      </c>
      <c r="H342" s="2">
        <v>138</v>
      </c>
      <c r="I342" s="3">
        <v>546</v>
      </c>
      <c r="J342" s="3">
        <v>75348</v>
      </c>
      <c r="K342" s="2">
        <v>20</v>
      </c>
      <c r="L342" s="3">
        <v>60278.400000000001</v>
      </c>
      <c r="M342" s="3">
        <v>41479.089999999997</v>
      </c>
      <c r="N342" s="3">
        <v>18799.310000000001</v>
      </c>
      <c r="O342" s="4">
        <v>31.19</v>
      </c>
      <c r="P342" s="2" t="s">
        <v>41</v>
      </c>
    </row>
    <row r="343" spans="1:16" x14ac:dyDescent="0.3">
      <c r="A343" s="5">
        <v>1667</v>
      </c>
      <c r="B343" s="5" t="s">
        <v>16</v>
      </c>
      <c r="C343" s="5" t="s">
        <v>17</v>
      </c>
      <c r="D343" s="5" t="s">
        <v>18</v>
      </c>
      <c r="E343" s="5" t="s">
        <v>42</v>
      </c>
      <c r="F343" s="5" t="s">
        <v>20</v>
      </c>
      <c r="G343" s="5" t="s">
        <v>80</v>
      </c>
      <c r="H343" s="5">
        <v>145</v>
      </c>
      <c r="I343" s="6">
        <v>82</v>
      </c>
      <c r="J343" s="6">
        <v>11890</v>
      </c>
      <c r="K343" s="5">
        <v>0</v>
      </c>
      <c r="L343" s="6">
        <v>11890</v>
      </c>
      <c r="M343" s="6">
        <v>7720.12</v>
      </c>
      <c r="N343" s="6">
        <v>4169.88</v>
      </c>
      <c r="O343" s="7">
        <v>35.07</v>
      </c>
      <c r="P343" s="5" t="s">
        <v>43</v>
      </c>
    </row>
    <row r="344" spans="1:16" x14ac:dyDescent="0.3">
      <c r="A344" s="2">
        <v>1314</v>
      </c>
      <c r="B344" s="2" t="s">
        <v>57</v>
      </c>
      <c r="C344" s="2" t="s">
        <v>58</v>
      </c>
      <c r="D344" s="2" t="s">
        <v>56</v>
      </c>
      <c r="E344" s="2" t="s">
        <v>26</v>
      </c>
      <c r="F344" s="2" t="s">
        <v>32</v>
      </c>
      <c r="G344" s="2" t="s">
        <v>33</v>
      </c>
      <c r="H344" s="2">
        <v>113</v>
      </c>
      <c r="I344" s="3">
        <v>9900</v>
      </c>
      <c r="J344" s="3">
        <v>1118700</v>
      </c>
      <c r="K344" s="2">
        <v>10</v>
      </c>
      <c r="L344" s="3">
        <v>1006830</v>
      </c>
      <c r="M344" s="3">
        <v>573138.17000000004</v>
      </c>
      <c r="N344" s="3">
        <v>433691.83</v>
      </c>
      <c r="O344" s="4">
        <v>43.07</v>
      </c>
      <c r="P344" s="2" t="s">
        <v>61</v>
      </c>
    </row>
    <row r="345" spans="1:16" x14ac:dyDescent="0.3">
      <c r="A345" s="5">
        <v>2143</v>
      </c>
      <c r="B345" s="5" t="s">
        <v>46</v>
      </c>
      <c r="C345" s="5" t="s">
        <v>47</v>
      </c>
      <c r="D345" s="5" t="s">
        <v>36</v>
      </c>
      <c r="E345" s="5" t="s">
        <v>19</v>
      </c>
      <c r="F345" s="5" t="s">
        <v>20</v>
      </c>
      <c r="G345" s="5" t="s">
        <v>21</v>
      </c>
      <c r="H345" s="5">
        <v>96</v>
      </c>
      <c r="I345" s="6">
        <v>112</v>
      </c>
      <c r="J345" s="6">
        <v>10752</v>
      </c>
      <c r="K345" s="5">
        <v>0</v>
      </c>
      <c r="L345" s="6">
        <v>10752</v>
      </c>
      <c r="M345" s="6">
        <v>6817.99</v>
      </c>
      <c r="N345" s="6">
        <v>3934.01</v>
      </c>
      <c r="O345" s="7">
        <v>36.590000000000003</v>
      </c>
      <c r="P345" s="5" t="s">
        <v>45</v>
      </c>
    </row>
    <row r="346" spans="1:16" x14ac:dyDescent="0.3">
      <c r="A346" s="2">
        <v>1495</v>
      </c>
      <c r="B346" s="2" t="s">
        <v>54</v>
      </c>
      <c r="C346" s="2" t="s">
        <v>55</v>
      </c>
      <c r="D346" s="2" t="s">
        <v>56</v>
      </c>
      <c r="E346" s="2" t="s">
        <v>44</v>
      </c>
      <c r="F346" s="2" t="s">
        <v>20</v>
      </c>
      <c r="G346" s="2" t="s">
        <v>60</v>
      </c>
      <c r="H346" s="2">
        <v>55</v>
      </c>
      <c r="I346" s="3">
        <v>94</v>
      </c>
      <c r="J346" s="3">
        <v>5170</v>
      </c>
      <c r="K346" s="2">
        <v>5</v>
      </c>
      <c r="L346" s="3">
        <v>4911.5</v>
      </c>
      <c r="M346" s="3">
        <v>3262.32</v>
      </c>
      <c r="N346" s="3">
        <v>1649.18</v>
      </c>
      <c r="O346" s="4">
        <v>33.58</v>
      </c>
      <c r="P346" s="2" t="s">
        <v>22</v>
      </c>
    </row>
    <row r="347" spans="1:16" x14ac:dyDescent="0.3">
      <c r="A347" s="5">
        <v>1541</v>
      </c>
      <c r="B347" s="5" t="s">
        <v>73</v>
      </c>
      <c r="C347" s="5" t="s">
        <v>74</v>
      </c>
      <c r="D347" s="5" t="s">
        <v>56</v>
      </c>
      <c r="E347" s="5" t="s">
        <v>19</v>
      </c>
      <c r="F347" s="5" t="s">
        <v>20</v>
      </c>
      <c r="G347" s="5" t="s">
        <v>64</v>
      </c>
      <c r="H347" s="5">
        <v>37</v>
      </c>
      <c r="I347" s="6">
        <v>207</v>
      </c>
      <c r="J347" s="6">
        <v>7659</v>
      </c>
      <c r="K347" s="5">
        <v>0</v>
      </c>
      <c r="L347" s="6">
        <v>7659</v>
      </c>
      <c r="M347" s="6">
        <v>4418.49</v>
      </c>
      <c r="N347" s="6">
        <v>3240.51</v>
      </c>
      <c r="O347" s="7">
        <v>42.31</v>
      </c>
      <c r="P347" s="5" t="s">
        <v>43</v>
      </c>
    </row>
    <row r="348" spans="1:16" x14ac:dyDescent="0.3">
      <c r="A348" s="2">
        <v>2185</v>
      </c>
      <c r="B348" s="2" t="s">
        <v>46</v>
      </c>
      <c r="C348" s="2" t="s">
        <v>47</v>
      </c>
      <c r="D348" s="2" t="s">
        <v>36</v>
      </c>
      <c r="E348" s="2" t="s">
        <v>44</v>
      </c>
      <c r="F348" s="2" t="s">
        <v>37</v>
      </c>
      <c r="G348" s="2" t="s">
        <v>67</v>
      </c>
      <c r="H348" s="2">
        <v>102</v>
      </c>
      <c r="I348" s="3">
        <v>1884</v>
      </c>
      <c r="J348" s="3">
        <v>192168</v>
      </c>
      <c r="K348" s="2">
        <v>0</v>
      </c>
      <c r="L348" s="3">
        <v>192168</v>
      </c>
      <c r="M348" s="3">
        <v>130057.77</v>
      </c>
      <c r="N348" s="3">
        <v>62110.23</v>
      </c>
      <c r="O348" s="4">
        <v>32.32</v>
      </c>
      <c r="P348" s="2" t="s">
        <v>61</v>
      </c>
    </row>
    <row r="349" spans="1:16" x14ac:dyDescent="0.3">
      <c r="A349" s="5">
        <v>2089</v>
      </c>
      <c r="B349" s="5" t="s">
        <v>76</v>
      </c>
      <c r="C349" s="5" t="s">
        <v>77</v>
      </c>
      <c r="D349" s="5" t="s">
        <v>36</v>
      </c>
      <c r="E349" s="5" t="s">
        <v>44</v>
      </c>
      <c r="F349" s="5" t="s">
        <v>32</v>
      </c>
      <c r="G349" s="5" t="s">
        <v>33</v>
      </c>
      <c r="H349" s="5">
        <v>88</v>
      </c>
      <c r="I349" s="6">
        <v>9606</v>
      </c>
      <c r="J349" s="6">
        <v>845328</v>
      </c>
      <c r="K349" s="5">
        <v>0</v>
      </c>
      <c r="L349" s="6">
        <v>845328</v>
      </c>
      <c r="M349" s="6">
        <v>545102.05000000005</v>
      </c>
      <c r="N349" s="6">
        <v>300225.95</v>
      </c>
      <c r="O349" s="7">
        <v>35.520000000000003</v>
      </c>
      <c r="P349" s="5" t="s">
        <v>29</v>
      </c>
    </row>
    <row r="350" spans="1:16" x14ac:dyDescent="0.3">
      <c r="A350" s="2">
        <v>1019</v>
      </c>
      <c r="B350" s="2" t="s">
        <v>62</v>
      </c>
      <c r="C350" s="2" t="s">
        <v>63</v>
      </c>
      <c r="D350" s="2" t="s">
        <v>25</v>
      </c>
      <c r="E350" s="2" t="s">
        <v>26</v>
      </c>
      <c r="F350" s="2" t="s">
        <v>20</v>
      </c>
      <c r="G350" s="2" t="s">
        <v>68</v>
      </c>
      <c r="H350" s="2">
        <v>75</v>
      </c>
      <c r="I350" s="3">
        <v>138</v>
      </c>
      <c r="J350" s="3">
        <v>10350</v>
      </c>
      <c r="K350" s="2">
        <v>0</v>
      </c>
      <c r="L350" s="3">
        <v>10350</v>
      </c>
      <c r="M350" s="3">
        <v>7029.36</v>
      </c>
      <c r="N350" s="3">
        <v>3320.64</v>
      </c>
      <c r="O350" s="4">
        <v>32.08</v>
      </c>
      <c r="P350" s="2" t="s">
        <v>61</v>
      </c>
    </row>
    <row r="351" spans="1:16" x14ac:dyDescent="0.3">
      <c r="A351" s="5">
        <v>1903</v>
      </c>
      <c r="B351" s="5" t="s">
        <v>34</v>
      </c>
      <c r="C351" s="5" t="s">
        <v>35</v>
      </c>
      <c r="D351" s="5" t="s">
        <v>36</v>
      </c>
      <c r="E351" s="5" t="s">
        <v>26</v>
      </c>
      <c r="F351" s="5" t="s">
        <v>27</v>
      </c>
      <c r="G351" s="5" t="s">
        <v>83</v>
      </c>
      <c r="H351" s="5">
        <v>117</v>
      </c>
      <c r="I351" s="6">
        <v>4689</v>
      </c>
      <c r="J351" s="6">
        <v>548613</v>
      </c>
      <c r="K351" s="5">
        <v>5</v>
      </c>
      <c r="L351" s="6">
        <v>521182.35</v>
      </c>
      <c r="M351" s="6">
        <v>331213.55</v>
      </c>
      <c r="N351" s="6">
        <v>189968.8</v>
      </c>
      <c r="O351" s="7">
        <v>36.450000000000003</v>
      </c>
      <c r="P351" s="5" t="s">
        <v>61</v>
      </c>
    </row>
    <row r="352" spans="1:16" x14ac:dyDescent="0.3">
      <c r="A352" s="2">
        <v>1284</v>
      </c>
      <c r="B352" s="2" t="s">
        <v>52</v>
      </c>
      <c r="C352" s="2" t="s">
        <v>53</v>
      </c>
      <c r="D352" s="2" t="s">
        <v>25</v>
      </c>
      <c r="E352" s="2" t="s">
        <v>44</v>
      </c>
      <c r="F352" s="2" t="s">
        <v>37</v>
      </c>
      <c r="G352" s="2" t="s">
        <v>82</v>
      </c>
      <c r="H352" s="2">
        <v>59</v>
      </c>
      <c r="I352" s="3">
        <v>1370</v>
      </c>
      <c r="J352" s="3">
        <v>80830</v>
      </c>
      <c r="K352" s="2">
        <v>5</v>
      </c>
      <c r="L352" s="3">
        <v>76788.5</v>
      </c>
      <c r="M352" s="3">
        <v>50675.89</v>
      </c>
      <c r="N352" s="3">
        <v>26112.61</v>
      </c>
      <c r="O352" s="4">
        <v>34.01</v>
      </c>
      <c r="P352" s="2" t="s">
        <v>29</v>
      </c>
    </row>
    <row r="353" spans="1:16" x14ac:dyDescent="0.3">
      <c r="A353" s="5">
        <v>1992</v>
      </c>
      <c r="B353" s="5" t="s">
        <v>34</v>
      </c>
      <c r="C353" s="5" t="s">
        <v>35</v>
      </c>
      <c r="D353" s="5" t="s">
        <v>36</v>
      </c>
      <c r="E353" s="5" t="s">
        <v>44</v>
      </c>
      <c r="F353" s="5" t="s">
        <v>20</v>
      </c>
      <c r="G353" s="5" t="s">
        <v>80</v>
      </c>
      <c r="H353" s="5">
        <v>121</v>
      </c>
      <c r="I353" s="6">
        <v>74</v>
      </c>
      <c r="J353" s="6">
        <v>8954</v>
      </c>
      <c r="K353" s="5">
        <v>5</v>
      </c>
      <c r="L353" s="6">
        <v>8506.2999999999993</v>
      </c>
      <c r="M353" s="6">
        <v>5698.67</v>
      </c>
      <c r="N353" s="6">
        <v>2807.63</v>
      </c>
      <c r="O353" s="7">
        <v>33.01</v>
      </c>
      <c r="P353" s="5" t="s">
        <v>22</v>
      </c>
    </row>
    <row r="354" spans="1:16" x14ac:dyDescent="0.3">
      <c r="A354" s="2">
        <v>1297</v>
      </c>
      <c r="B354" s="2" t="s">
        <v>52</v>
      </c>
      <c r="C354" s="2" t="s">
        <v>53</v>
      </c>
      <c r="D354" s="2" t="s">
        <v>25</v>
      </c>
      <c r="E354" s="2" t="s">
        <v>44</v>
      </c>
      <c r="F354" s="2" t="s">
        <v>48</v>
      </c>
      <c r="G354" s="2" t="s">
        <v>78</v>
      </c>
      <c r="H354" s="2">
        <v>37</v>
      </c>
      <c r="I354" s="3">
        <v>593</v>
      </c>
      <c r="J354" s="3">
        <v>21941</v>
      </c>
      <c r="K354" s="2">
        <v>20</v>
      </c>
      <c r="L354" s="3">
        <v>17552.8</v>
      </c>
      <c r="M354" s="3">
        <v>9765.56</v>
      </c>
      <c r="N354" s="3">
        <v>7787.24</v>
      </c>
      <c r="O354" s="4">
        <v>44.36</v>
      </c>
      <c r="P354" s="2" t="s">
        <v>41</v>
      </c>
    </row>
    <row r="355" spans="1:16" x14ac:dyDescent="0.3">
      <c r="A355" s="5">
        <v>1254</v>
      </c>
      <c r="B355" s="5" t="s">
        <v>52</v>
      </c>
      <c r="C355" s="5" t="s">
        <v>53</v>
      </c>
      <c r="D355" s="5" t="s">
        <v>25</v>
      </c>
      <c r="E355" s="5" t="s">
        <v>42</v>
      </c>
      <c r="F355" s="5" t="s">
        <v>27</v>
      </c>
      <c r="G355" s="5" t="s">
        <v>66</v>
      </c>
      <c r="H355" s="5">
        <v>66</v>
      </c>
      <c r="I355" s="6">
        <v>844</v>
      </c>
      <c r="J355" s="6">
        <v>55704</v>
      </c>
      <c r="K355" s="5">
        <v>0</v>
      </c>
      <c r="L355" s="6">
        <v>55704</v>
      </c>
      <c r="M355" s="6">
        <v>37231.660000000003</v>
      </c>
      <c r="N355" s="6">
        <v>18472.34</v>
      </c>
      <c r="O355" s="7">
        <v>33.159999999999997</v>
      </c>
      <c r="P355" s="5" t="s">
        <v>41</v>
      </c>
    </row>
    <row r="356" spans="1:16" x14ac:dyDescent="0.3">
      <c r="A356" s="2">
        <v>1213</v>
      </c>
      <c r="B356" s="2" t="s">
        <v>52</v>
      </c>
      <c r="C356" s="2" t="s">
        <v>53</v>
      </c>
      <c r="D356" s="2" t="s">
        <v>25</v>
      </c>
      <c r="E356" s="2" t="s">
        <v>26</v>
      </c>
      <c r="F356" s="2" t="s">
        <v>32</v>
      </c>
      <c r="G356" s="2" t="s">
        <v>81</v>
      </c>
      <c r="H356" s="2">
        <v>32</v>
      </c>
      <c r="I356" s="3">
        <v>14565</v>
      </c>
      <c r="J356" s="3">
        <v>466080</v>
      </c>
      <c r="K356" s="2">
        <v>5</v>
      </c>
      <c r="L356" s="3">
        <v>442776</v>
      </c>
      <c r="M356" s="3">
        <v>272090.5</v>
      </c>
      <c r="N356" s="3">
        <v>170685.5</v>
      </c>
      <c r="O356" s="4">
        <v>38.549999999999997</v>
      </c>
      <c r="P356" s="2" t="s">
        <v>45</v>
      </c>
    </row>
    <row r="357" spans="1:16" x14ac:dyDescent="0.3">
      <c r="A357" s="5">
        <v>1136</v>
      </c>
      <c r="B357" s="5" t="s">
        <v>23</v>
      </c>
      <c r="C357" s="5" t="s">
        <v>24</v>
      </c>
      <c r="D357" s="5" t="s">
        <v>25</v>
      </c>
      <c r="E357" s="5" t="s">
        <v>19</v>
      </c>
      <c r="F357" s="5" t="s">
        <v>32</v>
      </c>
      <c r="G357" s="5" t="s">
        <v>40</v>
      </c>
      <c r="H357" s="5">
        <v>74</v>
      </c>
      <c r="I357" s="6">
        <v>16764</v>
      </c>
      <c r="J357" s="6">
        <v>1240536</v>
      </c>
      <c r="K357" s="5">
        <v>15</v>
      </c>
      <c r="L357" s="6">
        <v>1054455.6000000001</v>
      </c>
      <c r="M357" s="6">
        <v>651206</v>
      </c>
      <c r="N357" s="6">
        <v>403249.6</v>
      </c>
      <c r="O357" s="7">
        <v>38.24</v>
      </c>
      <c r="P357" s="5" t="s">
        <v>39</v>
      </c>
    </row>
    <row r="358" spans="1:16" x14ac:dyDescent="0.3">
      <c r="A358" s="2">
        <v>1323</v>
      </c>
      <c r="B358" s="2" t="s">
        <v>57</v>
      </c>
      <c r="C358" s="2" t="s">
        <v>58</v>
      </c>
      <c r="D358" s="2" t="s">
        <v>56</v>
      </c>
      <c r="E358" s="2" t="s">
        <v>26</v>
      </c>
      <c r="F358" s="2" t="s">
        <v>48</v>
      </c>
      <c r="G358" s="2" t="s">
        <v>49</v>
      </c>
      <c r="H358" s="2">
        <v>91</v>
      </c>
      <c r="I358" s="3">
        <v>849</v>
      </c>
      <c r="J358" s="3">
        <v>77259</v>
      </c>
      <c r="K358" s="2">
        <v>15</v>
      </c>
      <c r="L358" s="3">
        <v>65670.149999999994</v>
      </c>
      <c r="M358" s="3">
        <v>39048.46</v>
      </c>
      <c r="N358" s="3">
        <v>26621.69</v>
      </c>
      <c r="O358" s="4">
        <v>40.54</v>
      </c>
      <c r="P358" s="2" t="s">
        <v>29</v>
      </c>
    </row>
    <row r="359" spans="1:16" x14ac:dyDescent="0.3">
      <c r="A359" s="5">
        <v>1053</v>
      </c>
      <c r="B359" s="5" t="s">
        <v>62</v>
      </c>
      <c r="C359" s="5" t="s">
        <v>63</v>
      </c>
      <c r="D359" s="5" t="s">
        <v>25</v>
      </c>
      <c r="E359" s="5" t="s">
        <v>42</v>
      </c>
      <c r="F359" s="5" t="s">
        <v>27</v>
      </c>
      <c r="G359" s="5" t="s">
        <v>83</v>
      </c>
      <c r="H359" s="5">
        <v>57</v>
      </c>
      <c r="I359" s="6">
        <v>4658</v>
      </c>
      <c r="J359" s="6">
        <v>265506</v>
      </c>
      <c r="K359" s="5">
        <v>5</v>
      </c>
      <c r="L359" s="6">
        <v>252230.7</v>
      </c>
      <c r="M359" s="6">
        <v>161869.47</v>
      </c>
      <c r="N359" s="6">
        <v>90361.23</v>
      </c>
      <c r="O359" s="7">
        <v>35.82</v>
      </c>
      <c r="P359" s="5" t="s">
        <v>43</v>
      </c>
    </row>
    <row r="360" spans="1:16" x14ac:dyDescent="0.3">
      <c r="A360" s="2">
        <v>1601</v>
      </c>
      <c r="B360" s="2" t="s">
        <v>16</v>
      </c>
      <c r="C360" s="2" t="s">
        <v>17</v>
      </c>
      <c r="D360" s="2" t="s">
        <v>18</v>
      </c>
      <c r="E360" s="2" t="s">
        <v>26</v>
      </c>
      <c r="F360" s="2" t="s">
        <v>27</v>
      </c>
      <c r="G360" s="2" t="s">
        <v>85</v>
      </c>
      <c r="H360" s="2">
        <v>116</v>
      </c>
      <c r="I360" s="3">
        <v>13021</v>
      </c>
      <c r="J360" s="3">
        <v>1510436</v>
      </c>
      <c r="K360" s="2">
        <v>5</v>
      </c>
      <c r="L360" s="3">
        <v>1434914.2</v>
      </c>
      <c r="M360" s="3">
        <v>931388</v>
      </c>
      <c r="N360" s="3">
        <v>503526.2</v>
      </c>
      <c r="O360" s="4">
        <v>35.090000000000003</v>
      </c>
      <c r="P360" s="2" t="s">
        <v>50</v>
      </c>
    </row>
    <row r="361" spans="1:16" x14ac:dyDescent="0.3">
      <c r="A361" s="5">
        <v>1171</v>
      </c>
      <c r="B361" s="5" t="s">
        <v>23</v>
      </c>
      <c r="C361" s="5" t="s">
        <v>24</v>
      </c>
      <c r="D361" s="5" t="s">
        <v>25</v>
      </c>
      <c r="E361" s="5" t="s">
        <v>42</v>
      </c>
      <c r="F361" s="5" t="s">
        <v>48</v>
      </c>
      <c r="G361" s="5" t="s">
        <v>69</v>
      </c>
      <c r="H361" s="5">
        <v>122</v>
      </c>
      <c r="I361" s="6">
        <v>1091</v>
      </c>
      <c r="J361" s="6">
        <v>133102</v>
      </c>
      <c r="K361" s="5">
        <v>0</v>
      </c>
      <c r="L361" s="6">
        <v>133102</v>
      </c>
      <c r="M361" s="6">
        <v>79063.28</v>
      </c>
      <c r="N361" s="6">
        <v>54038.720000000001</v>
      </c>
      <c r="O361" s="7">
        <v>40.6</v>
      </c>
      <c r="P361" s="5" t="s">
        <v>41</v>
      </c>
    </row>
    <row r="362" spans="1:16" x14ac:dyDescent="0.3">
      <c r="A362" s="2">
        <v>1591</v>
      </c>
      <c r="B362" s="2" t="s">
        <v>73</v>
      </c>
      <c r="C362" s="2" t="s">
        <v>74</v>
      </c>
      <c r="D362" s="2" t="s">
        <v>56</v>
      </c>
      <c r="E362" s="2" t="s">
        <v>44</v>
      </c>
      <c r="F362" s="2" t="s">
        <v>20</v>
      </c>
      <c r="G362" s="2" t="s">
        <v>64</v>
      </c>
      <c r="H362" s="2">
        <v>46</v>
      </c>
      <c r="I362" s="3">
        <v>215</v>
      </c>
      <c r="J362" s="3">
        <v>9890</v>
      </c>
      <c r="K362" s="2">
        <v>0</v>
      </c>
      <c r="L362" s="3">
        <v>9890</v>
      </c>
      <c r="M362" s="3">
        <v>6658.44</v>
      </c>
      <c r="N362" s="3">
        <v>3231.56</v>
      </c>
      <c r="O362" s="4">
        <v>32.68</v>
      </c>
      <c r="P362" s="2" t="s">
        <v>41</v>
      </c>
    </row>
    <row r="363" spans="1:16" x14ac:dyDescent="0.3">
      <c r="A363" s="5">
        <v>2092</v>
      </c>
      <c r="B363" s="5" t="s">
        <v>76</v>
      </c>
      <c r="C363" s="5" t="s">
        <v>77</v>
      </c>
      <c r="D363" s="5" t="s">
        <v>36</v>
      </c>
      <c r="E363" s="5" t="s">
        <v>44</v>
      </c>
      <c r="F363" s="5" t="s">
        <v>20</v>
      </c>
      <c r="G363" s="5" t="s">
        <v>80</v>
      </c>
      <c r="H363" s="5">
        <v>204</v>
      </c>
      <c r="I363" s="6">
        <v>83</v>
      </c>
      <c r="J363" s="6">
        <v>16932</v>
      </c>
      <c r="K363" s="5">
        <v>5</v>
      </c>
      <c r="L363" s="6">
        <v>16085.4</v>
      </c>
      <c r="M363" s="6">
        <v>10526</v>
      </c>
      <c r="N363" s="6">
        <v>5559.4</v>
      </c>
      <c r="O363" s="7">
        <v>34.56</v>
      </c>
      <c r="P363" s="5" t="s">
        <v>29</v>
      </c>
    </row>
    <row r="364" spans="1:16" x14ac:dyDescent="0.3">
      <c r="A364" s="2">
        <v>1486</v>
      </c>
      <c r="B364" s="2" t="s">
        <v>54</v>
      </c>
      <c r="C364" s="2" t="s">
        <v>55</v>
      </c>
      <c r="D364" s="2" t="s">
        <v>56</v>
      </c>
      <c r="E364" s="2" t="s">
        <v>44</v>
      </c>
      <c r="F364" s="2" t="s">
        <v>32</v>
      </c>
      <c r="G364" s="2" t="s">
        <v>40</v>
      </c>
      <c r="H364" s="2">
        <v>99</v>
      </c>
      <c r="I364" s="3">
        <v>17164</v>
      </c>
      <c r="J364" s="3">
        <v>1699236</v>
      </c>
      <c r="K364" s="2">
        <v>10</v>
      </c>
      <c r="L364" s="3">
        <v>1529312.4</v>
      </c>
      <c r="M364" s="3">
        <v>965464.87</v>
      </c>
      <c r="N364" s="3">
        <v>563847.53</v>
      </c>
      <c r="O364" s="4">
        <v>36.869999999999997</v>
      </c>
      <c r="P364" s="2" t="s">
        <v>43</v>
      </c>
    </row>
    <row r="365" spans="1:16" x14ac:dyDescent="0.3">
      <c r="A365" s="5">
        <v>1151</v>
      </c>
      <c r="B365" s="5" t="s">
        <v>23</v>
      </c>
      <c r="C365" s="5" t="s">
        <v>24</v>
      </c>
      <c r="D365" s="5" t="s">
        <v>25</v>
      </c>
      <c r="E365" s="5" t="s">
        <v>42</v>
      </c>
      <c r="F365" s="5" t="s">
        <v>27</v>
      </c>
      <c r="G365" s="5" t="s">
        <v>85</v>
      </c>
      <c r="H365" s="5">
        <v>90</v>
      </c>
      <c r="I365" s="6">
        <v>11996</v>
      </c>
      <c r="J365" s="6">
        <v>1079640</v>
      </c>
      <c r="K365" s="5">
        <v>20</v>
      </c>
      <c r="L365" s="6">
        <v>863712</v>
      </c>
      <c r="M365" s="6">
        <v>573503.54</v>
      </c>
      <c r="N365" s="6">
        <v>290208.46000000002</v>
      </c>
      <c r="O365" s="7">
        <v>33.6</v>
      </c>
      <c r="P365" s="5" t="s">
        <v>45</v>
      </c>
    </row>
    <row r="366" spans="1:16" x14ac:dyDescent="0.3">
      <c r="A366" s="2">
        <v>1104</v>
      </c>
      <c r="B366" s="2" t="s">
        <v>23</v>
      </c>
      <c r="C366" s="2" t="s">
        <v>24</v>
      </c>
      <c r="D366" s="2" t="s">
        <v>25</v>
      </c>
      <c r="E366" s="2" t="s">
        <v>26</v>
      </c>
      <c r="F366" s="2" t="s">
        <v>27</v>
      </c>
      <c r="G366" s="2" t="s">
        <v>66</v>
      </c>
      <c r="H366" s="2">
        <v>45</v>
      </c>
      <c r="I366" s="3">
        <v>731</v>
      </c>
      <c r="J366" s="3">
        <v>32895</v>
      </c>
      <c r="K366" s="2">
        <v>0</v>
      </c>
      <c r="L366" s="3">
        <v>32895</v>
      </c>
      <c r="M366" s="3">
        <v>21813.83</v>
      </c>
      <c r="N366" s="3">
        <v>11081.17</v>
      </c>
      <c r="O366" s="4">
        <v>33.69</v>
      </c>
      <c r="P366" s="2" t="s">
        <v>45</v>
      </c>
    </row>
    <row r="367" spans="1:16" x14ac:dyDescent="0.3">
      <c r="A367" s="5">
        <v>2076</v>
      </c>
      <c r="B367" s="5" t="s">
        <v>76</v>
      </c>
      <c r="C367" s="5" t="s">
        <v>77</v>
      </c>
      <c r="D367" s="5" t="s">
        <v>36</v>
      </c>
      <c r="E367" s="5" t="s">
        <v>44</v>
      </c>
      <c r="F367" s="5" t="s">
        <v>27</v>
      </c>
      <c r="G367" s="5" t="s">
        <v>85</v>
      </c>
      <c r="H367" s="5">
        <v>96</v>
      </c>
      <c r="I367" s="6">
        <v>12633</v>
      </c>
      <c r="J367" s="6">
        <v>1212768</v>
      </c>
      <c r="K367" s="5">
        <v>0</v>
      </c>
      <c r="L367" s="6">
        <v>1212768</v>
      </c>
      <c r="M367" s="6">
        <v>830018.72</v>
      </c>
      <c r="N367" s="6">
        <v>382749.28</v>
      </c>
      <c r="O367" s="7">
        <v>31.56</v>
      </c>
      <c r="P367" s="5" t="s">
        <v>61</v>
      </c>
    </row>
    <row r="368" spans="1:16" x14ac:dyDescent="0.3">
      <c r="A368" s="2">
        <v>1705</v>
      </c>
      <c r="B368" s="2" t="s">
        <v>30</v>
      </c>
      <c r="C368" s="2" t="s">
        <v>31</v>
      </c>
      <c r="D368" s="2" t="s">
        <v>18</v>
      </c>
      <c r="E368" s="2" t="s">
        <v>26</v>
      </c>
      <c r="F368" s="2" t="s">
        <v>27</v>
      </c>
      <c r="G368" s="2" t="s">
        <v>84</v>
      </c>
      <c r="H368" s="2">
        <v>96</v>
      </c>
      <c r="I368" s="3">
        <v>15268</v>
      </c>
      <c r="J368" s="3">
        <v>1465728</v>
      </c>
      <c r="K368" s="2">
        <v>0</v>
      </c>
      <c r="L368" s="3">
        <v>1465728</v>
      </c>
      <c r="M368" s="3">
        <v>1018062.74</v>
      </c>
      <c r="N368" s="3">
        <v>447665.26</v>
      </c>
      <c r="O368" s="4">
        <v>30.54</v>
      </c>
      <c r="P368" s="2" t="s">
        <v>43</v>
      </c>
    </row>
    <row r="369" spans="1:16" x14ac:dyDescent="0.3">
      <c r="A369" s="5">
        <v>1816</v>
      </c>
      <c r="B369" s="5" t="s">
        <v>70</v>
      </c>
      <c r="C369" s="5" t="s">
        <v>71</v>
      </c>
      <c r="D369" s="5" t="s">
        <v>18</v>
      </c>
      <c r="E369" s="5" t="s">
        <v>26</v>
      </c>
      <c r="F369" s="5" t="s">
        <v>20</v>
      </c>
      <c r="G369" s="5" t="s">
        <v>64</v>
      </c>
      <c r="H369" s="5">
        <v>167</v>
      </c>
      <c r="I369" s="6">
        <v>198</v>
      </c>
      <c r="J369" s="6">
        <v>33066</v>
      </c>
      <c r="K369" s="5">
        <v>20</v>
      </c>
      <c r="L369" s="6">
        <v>26452.799999999999</v>
      </c>
      <c r="M369" s="6">
        <v>18106.37</v>
      </c>
      <c r="N369" s="6">
        <v>8346.43</v>
      </c>
      <c r="O369" s="7">
        <v>31.55</v>
      </c>
      <c r="P369" s="5" t="s">
        <v>43</v>
      </c>
    </row>
    <row r="370" spans="1:16" x14ac:dyDescent="0.3">
      <c r="A370" s="2">
        <v>1706</v>
      </c>
      <c r="B370" s="2" t="s">
        <v>30</v>
      </c>
      <c r="C370" s="2" t="s">
        <v>31</v>
      </c>
      <c r="D370" s="2" t="s">
        <v>18</v>
      </c>
      <c r="E370" s="2" t="s">
        <v>26</v>
      </c>
      <c r="F370" s="2" t="s">
        <v>37</v>
      </c>
      <c r="G370" s="2" t="s">
        <v>59</v>
      </c>
      <c r="H370" s="2">
        <v>107</v>
      </c>
      <c r="I370" s="3">
        <v>455</v>
      </c>
      <c r="J370" s="3">
        <v>48685</v>
      </c>
      <c r="K370" s="2">
        <v>15</v>
      </c>
      <c r="L370" s="3">
        <v>41382.25</v>
      </c>
      <c r="M370" s="3">
        <v>27967.05</v>
      </c>
      <c r="N370" s="3">
        <v>13415.2</v>
      </c>
      <c r="O370" s="4">
        <v>32.42</v>
      </c>
      <c r="P370" s="2" t="s">
        <v>39</v>
      </c>
    </row>
    <row r="371" spans="1:16" x14ac:dyDescent="0.3">
      <c r="A371" s="5">
        <v>1836</v>
      </c>
      <c r="B371" s="5" t="s">
        <v>70</v>
      </c>
      <c r="C371" s="5" t="s">
        <v>71</v>
      </c>
      <c r="D371" s="5" t="s">
        <v>18</v>
      </c>
      <c r="E371" s="5" t="s">
        <v>19</v>
      </c>
      <c r="F371" s="5" t="s">
        <v>32</v>
      </c>
      <c r="G371" s="5" t="s">
        <v>40</v>
      </c>
      <c r="H371" s="5">
        <v>81</v>
      </c>
      <c r="I371" s="6">
        <v>16235</v>
      </c>
      <c r="J371" s="6">
        <v>1315035</v>
      </c>
      <c r="K371" s="5">
        <v>15</v>
      </c>
      <c r="L371" s="6">
        <v>1117779.75</v>
      </c>
      <c r="M371" s="6">
        <v>698544.91</v>
      </c>
      <c r="N371" s="6">
        <v>419234.84</v>
      </c>
      <c r="O371" s="7">
        <v>37.51</v>
      </c>
      <c r="P371" s="5" t="s">
        <v>41</v>
      </c>
    </row>
    <row r="372" spans="1:16" x14ac:dyDescent="0.3">
      <c r="A372" s="2">
        <v>1249</v>
      </c>
      <c r="B372" s="2" t="s">
        <v>52</v>
      </c>
      <c r="C372" s="2" t="s">
        <v>53</v>
      </c>
      <c r="D372" s="2" t="s">
        <v>25</v>
      </c>
      <c r="E372" s="2" t="s">
        <v>19</v>
      </c>
      <c r="F372" s="2" t="s">
        <v>48</v>
      </c>
      <c r="G372" s="2" t="s">
        <v>51</v>
      </c>
      <c r="H372" s="2">
        <v>68</v>
      </c>
      <c r="I372" s="3">
        <v>2022</v>
      </c>
      <c r="J372" s="3">
        <v>137496</v>
      </c>
      <c r="K372" s="2">
        <v>0</v>
      </c>
      <c r="L372" s="3">
        <v>137496</v>
      </c>
      <c r="M372" s="3">
        <v>84898.29</v>
      </c>
      <c r="N372" s="3">
        <v>52597.71</v>
      </c>
      <c r="O372" s="4">
        <v>38.25</v>
      </c>
      <c r="P372" s="2" t="s">
        <v>45</v>
      </c>
    </row>
    <row r="373" spans="1:16" x14ac:dyDescent="0.3">
      <c r="A373" s="5">
        <v>1228</v>
      </c>
      <c r="B373" s="5" t="s">
        <v>52</v>
      </c>
      <c r="C373" s="5" t="s">
        <v>53</v>
      </c>
      <c r="D373" s="5" t="s">
        <v>25</v>
      </c>
      <c r="E373" s="5" t="s">
        <v>19</v>
      </c>
      <c r="F373" s="5" t="s">
        <v>27</v>
      </c>
      <c r="G373" s="5" t="s">
        <v>83</v>
      </c>
      <c r="H373" s="5">
        <v>115</v>
      </c>
      <c r="I373" s="6">
        <v>4656</v>
      </c>
      <c r="J373" s="6">
        <v>535440</v>
      </c>
      <c r="K373" s="5">
        <v>0</v>
      </c>
      <c r="L373" s="6">
        <v>535440</v>
      </c>
      <c r="M373" s="6">
        <v>348622.47</v>
      </c>
      <c r="N373" s="6">
        <v>186817.53</v>
      </c>
      <c r="O373" s="7">
        <v>34.89</v>
      </c>
      <c r="P373" s="5" t="s">
        <v>50</v>
      </c>
    </row>
    <row r="374" spans="1:16" x14ac:dyDescent="0.3">
      <c r="A374" s="2">
        <v>1360</v>
      </c>
      <c r="B374" s="2" t="s">
        <v>57</v>
      </c>
      <c r="C374" s="2" t="s">
        <v>58</v>
      </c>
      <c r="D374" s="2" t="s">
        <v>56</v>
      </c>
      <c r="E374" s="2" t="s">
        <v>42</v>
      </c>
      <c r="F374" s="2" t="s">
        <v>37</v>
      </c>
      <c r="G374" s="2" t="s">
        <v>67</v>
      </c>
      <c r="H374" s="2">
        <v>34</v>
      </c>
      <c r="I374" s="3">
        <v>1897</v>
      </c>
      <c r="J374" s="3">
        <v>64498</v>
      </c>
      <c r="K374" s="2">
        <v>0</v>
      </c>
      <c r="L374" s="3">
        <v>64498</v>
      </c>
      <c r="M374" s="3">
        <v>44805.33</v>
      </c>
      <c r="N374" s="3">
        <v>19692.669999999998</v>
      </c>
      <c r="O374" s="4">
        <v>30.53</v>
      </c>
      <c r="P374" s="2" t="s">
        <v>61</v>
      </c>
    </row>
    <row r="375" spans="1:16" x14ac:dyDescent="0.3">
      <c r="A375" s="5">
        <v>2053</v>
      </c>
      <c r="B375" s="5" t="s">
        <v>76</v>
      </c>
      <c r="C375" s="5" t="s">
        <v>77</v>
      </c>
      <c r="D375" s="5" t="s">
        <v>36</v>
      </c>
      <c r="E375" s="5" t="s">
        <v>42</v>
      </c>
      <c r="F375" s="5" t="s">
        <v>27</v>
      </c>
      <c r="G375" s="5" t="s">
        <v>83</v>
      </c>
      <c r="H375" s="5">
        <v>131</v>
      </c>
      <c r="I375" s="6">
        <v>4511</v>
      </c>
      <c r="J375" s="6">
        <v>590941</v>
      </c>
      <c r="K375" s="5">
        <v>20</v>
      </c>
      <c r="L375" s="6">
        <v>472752.8</v>
      </c>
      <c r="M375" s="6">
        <v>296368.48</v>
      </c>
      <c r="N375" s="6">
        <v>176384.32</v>
      </c>
      <c r="O375" s="7">
        <v>37.31</v>
      </c>
      <c r="P375" s="5" t="s">
        <v>39</v>
      </c>
    </row>
    <row r="376" spans="1:16" x14ac:dyDescent="0.3">
      <c r="A376" s="2">
        <v>1596</v>
      </c>
      <c r="B376" s="2" t="s">
        <v>73</v>
      </c>
      <c r="C376" s="2" t="s">
        <v>74</v>
      </c>
      <c r="D376" s="2" t="s">
        <v>56</v>
      </c>
      <c r="E376" s="2" t="s">
        <v>44</v>
      </c>
      <c r="F376" s="2" t="s">
        <v>48</v>
      </c>
      <c r="G376" s="2" t="s">
        <v>69</v>
      </c>
      <c r="H376" s="2">
        <v>45</v>
      </c>
      <c r="I376" s="3">
        <v>1098</v>
      </c>
      <c r="J376" s="3">
        <v>49410</v>
      </c>
      <c r="K376" s="2">
        <v>0</v>
      </c>
      <c r="L376" s="3">
        <v>49410</v>
      </c>
      <c r="M376" s="3">
        <v>29361.22</v>
      </c>
      <c r="N376" s="3">
        <v>20048.78</v>
      </c>
      <c r="O376" s="4">
        <v>40.58</v>
      </c>
      <c r="P376" s="2" t="s">
        <v>41</v>
      </c>
    </row>
    <row r="377" spans="1:16" x14ac:dyDescent="0.3">
      <c r="A377" s="5">
        <v>1834</v>
      </c>
      <c r="B377" s="5" t="s">
        <v>70</v>
      </c>
      <c r="C377" s="5" t="s">
        <v>71</v>
      </c>
      <c r="D377" s="5" t="s">
        <v>18</v>
      </c>
      <c r="E377" s="5" t="s">
        <v>19</v>
      </c>
      <c r="F377" s="5" t="s">
        <v>37</v>
      </c>
      <c r="G377" s="5" t="s">
        <v>82</v>
      </c>
      <c r="H377" s="5">
        <v>146</v>
      </c>
      <c r="I377" s="6">
        <v>1556</v>
      </c>
      <c r="J377" s="6">
        <v>227176</v>
      </c>
      <c r="K377" s="5">
        <v>0</v>
      </c>
      <c r="L377" s="6">
        <v>227176</v>
      </c>
      <c r="M377" s="6">
        <v>149509.6</v>
      </c>
      <c r="N377" s="6">
        <v>77666.399999999994</v>
      </c>
      <c r="O377" s="7">
        <v>34.19</v>
      </c>
      <c r="P377" s="5" t="s">
        <v>45</v>
      </c>
    </row>
    <row r="378" spans="1:16" x14ac:dyDescent="0.3">
      <c r="A378" s="2">
        <v>1533</v>
      </c>
      <c r="B378" s="2" t="s">
        <v>73</v>
      </c>
      <c r="C378" s="2" t="s">
        <v>74</v>
      </c>
      <c r="D378" s="2" t="s">
        <v>56</v>
      </c>
      <c r="E378" s="2" t="s">
        <v>19</v>
      </c>
      <c r="F378" s="2" t="s">
        <v>37</v>
      </c>
      <c r="G378" s="2" t="s">
        <v>38</v>
      </c>
      <c r="H378" s="2">
        <v>122</v>
      </c>
      <c r="I378" s="3">
        <v>2149</v>
      </c>
      <c r="J378" s="3">
        <v>262178</v>
      </c>
      <c r="K378" s="2">
        <v>0</v>
      </c>
      <c r="L378" s="3">
        <v>262178</v>
      </c>
      <c r="M378" s="3">
        <v>174535.71</v>
      </c>
      <c r="N378" s="3">
        <v>87642.29</v>
      </c>
      <c r="O378" s="4">
        <v>33.43</v>
      </c>
      <c r="P378" s="2" t="s">
        <v>43</v>
      </c>
    </row>
    <row r="379" spans="1:16" x14ac:dyDescent="0.3">
      <c r="A379" s="5">
        <v>1012</v>
      </c>
      <c r="B379" s="5" t="s">
        <v>62</v>
      </c>
      <c r="C379" s="5" t="s">
        <v>63</v>
      </c>
      <c r="D379" s="5" t="s">
        <v>25</v>
      </c>
      <c r="E379" s="5" t="s">
        <v>26</v>
      </c>
      <c r="F379" s="5" t="s">
        <v>32</v>
      </c>
      <c r="G379" s="5" t="s">
        <v>75</v>
      </c>
      <c r="H379" s="5">
        <v>87</v>
      </c>
      <c r="I379" s="6">
        <v>11211</v>
      </c>
      <c r="J379" s="6">
        <v>975357</v>
      </c>
      <c r="K379" s="5">
        <v>5</v>
      </c>
      <c r="L379" s="6">
        <v>926589.15</v>
      </c>
      <c r="M379" s="6">
        <v>532335.07999999996</v>
      </c>
      <c r="N379" s="6">
        <v>394254.07</v>
      </c>
      <c r="O379" s="7">
        <v>42.55</v>
      </c>
      <c r="P379" s="5" t="s">
        <v>22</v>
      </c>
    </row>
    <row r="380" spans="1:16" x14ac:dyDescent="0.3">
      <c r="A380" s="2">
        <v>1725</v>
      </c>
      <c r="B380" s="2" t="s">
        <v>30</v>
      </c>
      <c r="C380" s="2" t="s">
        <v>31</v>
      </c>
      <c r="D380" s="2" t="s">
        <v>18</v>
      </c>
      <c r="E380" s="2" t="s">
        <v>26</v>
      </c>
      <c r="F380" s="2" t="s">
        <v>48</v>
      </c>
      <c r="G380" s="2" t="s">
        <v>72</v>
      </c>
      <c r="H380" s="2">
        <v>139</v>
      </c>
      <c r="I380" s="3">
        <v>3234</v>
      </c>
      <c r="J380" s="3">
        <v>449526</v>
      </c>
      <c r="K380" s="2">
        <v>0</v>
      </c>
      <c r="L380" s="3">
        <v>449526</v>
      </c>
      <c r="M380" s="3">
        <v>276133.11</v>
      </c>
      <c r="N380" s="3">
        <v>173392.89</v>
      </c>
      <c r="O380" s="4">
        <v>38.57</v>
      </c>
      <c r="P380" s="2" t="s">
        <v>50</v>
      </c>
    </row>
    <row r="381" spans="1:16" x14ac:dyDescent="0.3">
      <c r="A381" s="5">
        <v>1872</v>
      </c>
      <c r="B381" s="5" t="s">
        <v>70</v>
      </c>
      <c r="C381" s="5" t="s">
        <v>71</v>
      </c>
      <c r="D381" s="5" t="s">
        <v>18</v>
      </c>
      <c r="E381" s="5" t="s">
        <v>42</v>
      </c>
      <c r="F381" s="5" t="s">
        <v>48</v>
      </c>
      <c r="G381" s="5" t="s">
        <v>78</v>
      </c>
      <c r="H381" s="5">
        <v>121</v>
      </c>
      <c r="I381" s="6">
        <v>544</v>
      </c>
      <c r="J381" s="6">
        <v>65824</v>
      </c>
      <c r="K381" s="5">
        <v>0</v>
      </c>
      <c r="L381" s="6">
        <v>65824</v>
      </c>
      <c r="M381" s="6">
        <v>44532.04</v>
      </c>
      <c r="N381" s="6">
        <v>21291.96</v>
      </c>
      <c r="O381" s="7">
        <v>32.35</v>
      </c>
      <c r="P381" s="5" t="s">
        <v>61</v>
      </c>
    </row>
    <row r="382" spans="1:16" x14ac:dyDescent="0.3">
      <c r="A382" s="2">
        <v>1076</v>
      </c>
      <c r="B382" s="2" t="s">
        <v>62</v>
      </c>
      <c r="C382" s="2" t="s">
        <v>63</v>
      </c>
      <c r="D382" s="2" t="s">
        <v>25</v>
      </c>
      <c r="E382" s="2" t="s">
        <v>44</v>
      </c>
      <c r="F382" s="2" t="s">
        <v>27</v>
      </c>
      <c r="G382" s="2" t="s">
        <v>85</v>
      </c>
      <c r="H382" s="2">
        <v>90</v>
      </c>
      <c r="I382" s="3">
        <v>11521</v>
      </c>
      <c r="J382" s="3">
        <v>1036890</v>
      </c>
      <c r="K382" s="2">
        <v>5</v>
      </c>
      <c r="L382" s="3">
        <v>985045.5</v>
      </c>
      <c r="M382" s="3">
        <v>640313</v>
      </c>
      <c r="N382" s="3">
        <v>344732.5</v>
      </c>
      <c r="O382" s="4">
        <v>35</v>
      </c>
      <c r="P382" s="2" t="s">
        <v>41</v>
      </c>
    </row>
    <row r="383" spans="1:16" x14ac:dyDescent="0.3">
      <c r="A383" s="5">
        <v>1489</v>
      </c>
      <c r="B383" s="5" t="s">
        <v>54</v>
      </c>
      <c r="C383" s="5" t="s">
        <v>55</v>
      </c>
      <c r="D383" s="5" t="s">
        <v>56</v>
      </c>
      <c r="E383" s="5" t="s">
        <v>44</v>
      </c>
      <c r="F383" s="5" t="s">
        <v>32</v>
      </c>
      <c r="G383" s="5" t="s">
        <v>33</v>
      </c>
      <c r="H383" s="5">
        <v>82</v>
      </c>
      <c r="I383" s="6">
        <v>9697</v>
      </c>
      <c r="J383" s="6">
        <v>795154</v>
      </c>
      <c r="K383" s="5">
        <v>0</v>
      </c>
      <c r="L383" s="6">
        <v>795154</v>
      </c>
      <c r="M383" s="6">
        <v>489703.93</v>
      </c>
      <c r="N383" s="6">
        <v>305450.07</v>
      </c>
      <c r="O383" s="7">
        <v>38.409999999999997</v>
      </c>
      <c r="P383" s="5" t="s">
        <v>29</v>
      </c>
    </row>
    <row r="384" spans="1:16" x14ac:dyDescent="0.3">
      <c r="A384" s="2">
        <v>1891</v>
      </c>
      <c r="B384" s="2" t="s">
        <v>70</v>
      </c>
      <c r="C384" s="2" t="s">
        <v>71</v>
      </c>
      <c r="D384" s="2" t="s">
        <v>18</v>
      </c>
      <c r="E384" s="2" t="s">
        <v>44</v>
      </c>
      <c r="F384" s="2" t="s">
        <v>20</v>
      </c>
      <c r="G384" s="2" t="s">
        <v>64</v>
      </c>
      <c r="H384" s="2">
        <v>82</v>
      </c>
      <c r="I384" s="3">
        <v>213</v>
      </c>
      <c r="J384" s="3">
        <v>17466</v>
      </c>
      <c r="K384" s="2">
        <v>10</v>
      </c>
      <c r="L384" s="3">
        <v>15719.4</v>
      </c>
      <c r="M384" s="3">
        <v>9716.35</v>
      </c>
      <c r="N384" s="3">
        <v>6003.05</v>
      </c>
      <c r="O384" s="4">
        <v>38.19</v>
      </c>
      <c r="P384" s="2" t="s">
        <v>22</v>
      </c>
    </row>
    <row r="385" spans="1:16" x14ac:dyDescent="0.3">
      <c r="A385" s="5">
        <v>2102</v>
      </c>
      <c r="B385" s="5" t="s">
        <v>46</v>
      </c>
      <c r="C385" s="5" t="s">
        <v>47</v>
      </c>
      <c r="D385" s="5" t="s">
        <v>36</v>
      </c>
      <c r="E385" s="5" t="s">
        <v>26</v>
      </c>
      <c r="F385" s="5" t="s">
        <v>27</v>
      </c>
      <c r="G385" s="5" t="s">
        <v>28</v>
      </c>
      <c r="H385" s="5">
        <v>57</v>
      </c>
      <c r="I385" s="6">
        <v>8152</v>
      </c>
      <c r="J385" s="6">
        <v>464664</v>
      </c>
      <c r="K385" s="5">
        <v>5</v>
      </c>
      <c r="L385" s="6">
        <v>441430.8</v>
      </c>
      <c r="M385" s="6">
        <v>246965.75</v>
      </c>
      <c r="N385" s="6">
        <v>194465.05</v>
      </c>
      <c r="O385" s="7">
        <v>44.05</v>
      </c>
      <c r="P385" s="5" t="s">
        <v>45</v>
      </c>
    </row>
    <row r="386" spans="1:16" x14ac:dyDescent="0.3">
      <c r="A386" s="2">
        <v>1406</v>
      </c>
      <c r="B386" s="2" t="s">
        <v>54</v>
      </c>
      <c r="C386" s="2" t="s">
        <v>55</v>
      </c>
      <c r="D386" s="2" t="s">
        <v>56</v>
      </c>
      <c r="E386" s="2" t="s">
        <v>26</v>
      </c>
      <c r="F386" s="2" t="s">
        <v>37</v>
      </c>
      <c r="G386" s="2" t="s">
        <v>59</v>
      </c>
      <c r="H386" s="2">
        <v>103</v>
      </c>
      <c r="I386" s="3">
        <v>533</v>
      </c>
      <c r="J386" s="3">
        <v>54899</v>
      </c>
      <c r="K386" s="2">
        <v>0</v>
      </c>
      <c r="L386" s="3">
        <v>54899</v>
      </c>
      <c r="M386" s="3">
        <v>32405.19</v>
      </c>
      <c r="N386" s="3">
        <v>22493.81</v>
      </c>
      <c r="O386" s="4">
        <v>40.97</v>
      </c>
      <c r="P386" s="2" t="s">
        <v>43</v>
      </c>
    </row>
    <row r="387" spans="1:16" x14ac:dyDescent="0.3">
      <c r="A387" s="5">
        <v>1578</v>
      </c>
      <c r="B387" s="5" t="s">
        <v>73</v>
      </c>
      <c r="C387" s="5" t="s">
        <v>74</v>
      </c>
      <c r="D387" s="5" t="s">
        <v>56</v>
      </c>
      <c r="E387" s="5" t="s">
        <v>44</v>
      </c>
      <c r="F387" s="5" t="s">
        <v>27</v>
      </c>
      <c r="G387" s="5" t="s">
        <v>83</v>
      </c>
      <c r="H387" s="5">
        <v>122</v>
      </c>
      <c r="I387" s="6">
        <v>4852</v>
      </c>
      <c r="J387" s="6">
        <v>591944</v>
      </c>
      <c r="K387" s="5">
        <v>0</v>
      </c>
      <c r="L387" s="6">
        <v>591944</v>
      </c>
      <c r="M387" s="6">
        <v>375568.54</v>
      </c>
      <c r="N387" s="6">
        <v>216375.46</v>
      </c>
      <c r="O387" s="7">
        <v>36.549999999999997</v>
      </c>
      <c r="P387" s="5" t="s">
        <v>45</v>
      </c>
    </row>
    <row r="388" spans="1:16" x14ac:dyDescent="0.3">
      <c r="A388" s="2">
        <v>2166</v>
      </c>
      <c r="B388" s="2" t="s">
        <v>46</v>
      </c>
      <c r="C388" s="2" t="s">
        <v>47</v>
      </c>
      <c r="D388" s="2" t="s">
        <v>36</v>
      </c>
      <c r="E388" s="2" t="s">
        <v>42</v>
      </c>
      <c r="F388" s="2" t="s">
        <v>20</v>
      </c>
      <c r="G388" s="2" t="s">
        <v>64</v>
      </c>
      <c r="H388" s="2">
        <v>170</v>
      </c>
      <c r="I388" s="3">
        <v>185</v>
      </c>
      <c r="J388" s="3">
        <v>31450</v>
      </c>
      <c r="K388" s="2">
        <v>0</v>
      </c>
      <c r="L388" s="3">
        <v>31450</v>
      </c>
      <c r="M388" s="3">
        <v>19192.189999999999</v>
      </c>
      <c r="N388" s="3">
        <v>12257.81</v>
      </c>
      <c r="O388" s="4">
        <v>38.979999999999997</v>
      </c>
      <c r="P388" s="2" t="s">
        <v>45</v>
      </c>
    </row>
    <row r="389" spans="1:16" x14ac:dyDescent="0.3">
      <c r="A389" s="5">
        <v>2051</v>
      </c>
      <c r="B389" s="5" t="s">
        <v>76</v>
      </c>
      <c r="C389" s="5" t="s">
        <v>77</v>
      </c>
      <c r="D389" s="5" t="s">
        <v>36</v>
      </c>
      <c r="E389" s="5" t="s">
        <v>42</v>
      </c>
      <c r="F389" s="5" t="s">
        <v>27</v>
      </c>
      <c r="G389" s="5" t="s">
        <v>85</v>
      </c>
      <c r="H389" s="5">
        <v>118</v>
      </c>
      <c r="I389" s="6">
        <v>10988</v>
      </c>
      <c r="J389" s="6">
        <v>1296584</v>
      </c>
      <c r="K389" s="5">
        <v>0</v>
      </c>
      <c r="L389" s="6">
        <v>1296584</v>
      </c>
      <c r="M389" s="6">
        <v>760815.65</v>
      </c>
      <c r="N389" s="6">
        <v>535768.35</v>
      </c>
      <c r="O389" s="7">
        <v>41.32</v>
      </c>
      <c r="P389" s="5" t="s">
        <v>29</v>
      </c>
    </row>
    <row r="390" spans="1:16" x14ac:dyDescent="0.3">
      <c r="A390" s="2">
        <v>2044</v>
      </c>
      <c r="B390" s="2" t="s">
        <v>76</v>
      </c>
      <c r="C390" s="2" t="s">
        <v>77</v>
      </c>
      <c r="D390" s="2" t="s">
        <v>36</v>
      </c>
      <c r="E390" s="2" t="s">
        <v>19</v>
      </c>
      <c r="F390" s="2" t="s">
        <v>20</v>
      </c>
      <c r="G390" s="2" t="s">
        <v>68</v>
      </c>
      <c r="H390" s="2">
        <v>138</v>
      </c>
      <c r="I390" s="3">
        <v>139</v>
      </c>
      <c r="J390" s="3">
        <v>19182</v>
      </c>
      <c r="K390" s="2">
        <v>20</v>
      </c>
      <c r="L390" s="3">
        <v>15345.6</v>
      </c>
      <c r="M390" s="3">
        <v>9954.52</v>
      </c>
      <c r="N390" s="3">
        <v>5391.08</v>
      </c>
      <c r="O390" s="4">
        <v>35.130000000000003</v>
      </c>
      <c r="P390" s="2" t="s">
        <v>61</v>
      </c>
    </row>
    <row r="391" spans="1:16" x14ac:dyDescent="0.3">
      <c r="A391" s="5">
        <v>2177</v>
      </c>
      <c r="B391" s="5" t="s">
        <v>46</v>
      </c>
      <c r="C391" s="5" t="s">
        <v>47</v>
      </c>
      <c r="D391" s="5" t="s">
        <v>36</v>
      </c>
      <c r="E391" s="5" t="s">
        <v>44</v>
      </c>
      <c r="F391" s="5" t="s">
        <v>27</v>
      </c>
      <c r="G391" s="5" t="s">
        <v>28</v>
      </c>
      <c r="H391" s="5">
        <v>47</v>
      </c>
      <c r="I391" s="6">
        <v>7855</v>
      </c>
      <c r="J391" s="6">
        <v>369185</v>
      </c>
      <c r="K391" s="5">
        <v>5</v>
      </c>
      <c r="L391" s="6">
        <v>350725.75</v>
      </c>
      <c r="M391" s="6">
        <v>214706.27</v>
      </c>
      <c r="N391" s="6">
        <v>136019.48000000001</v>
      </c>
      <c r="O391" s="7">
        <v>38.78</v>
      </c>
      <c r="P391" s="5" t="s">
        <v>39</v>
      </c>
    </row>
    <row r="392" spans="1:16" x14ac:dyDescent="0.3">
      <c r="A392" s="2">
        <v>2085</v>
      </c>
      <c r="B392" s="2" t="s">
        <v>76</v>
      </c>
      <c r="C392" s="2" t="s">
        <v>77</v>
      </c>
      <c r="D392" s="2" t="s">
        <v>36</v>
      </c>
      <c r="E392" s="2" t="s">
        <v>44</v>
      </c>
      <c r="F392" s="2" t="s">
        <v>37</v>
      </c>
      <c r="G392" s="2" t="s">
        <v>67</v>
      </c>
      <c r="H392" s="2">
        <v>55</v>
      </c>
      <c r="I392" s="3">
        <v>1851</v>
      </c>
      <c r="J392" s="3">
        <v>101805</v>
      </c>
      <c r="K392" s="2">
        <v>0</v>
      </c>
      <c r="L392" s="3">
        <v>101805</v>
      </c>
      <c r="M392" s="3">
        <v>66141.78</v>
      </c>
      <c r="N392" s="3">
        <v>35663.22</v>
      </c>
      <c r="O392" s="4">
        <v>35.03</v>
      </c>
      <c r="P392" s="2" t="s">
        <v>50</v>
      </c>
    </row>
    <row r="393" spans="1:16" x14ac:dyDescent="0.3">
      <c r="A393" s="5">
        <v>1996</v>
      </c>
      <c r="B393" s="5" t="s">
        <v>34</v>
      </c>
      <c r="C393" s="5" t="s">
        <v>35</v>
      </c>
      <c r="D393" s="5" t="s">
        <v>36</v>
      </c>
      <c r="E393" s="5" t="s">
        <v>44</v>
      </c>
      <c r="F393" s="5" t="s">
        <v>48</v>
      </c>
      <c r="G393" s="5" t="s">
        <v>69</v>
      </c>
      <c r="H393" s="5">
        <v>153</v>
      </c>
      <c r="I393" s="6">
        <v>1127</v>
      </c>
      <c r="J393" s="6">
        <v>172431</v>
      </c>
      <c r="K393" s="5">
        <v>10</v>
      </c>
      <c r="L393" s="6">
        <v>155187.9</v>
      </c>
      <c r="M393" s="6">
        <v>106822.34</v>
      </c>
      <c r="N393" s="6">
        <v>48365.56</v>
      </c>
      <c r="O393" s="7">
        <v>31.17</v>
      </c>
      <c r="P393" s="5" t="s">
        <v>39</v>
      </c>
    </row>
    <row r="394" spans="1:16" x14ac:dyDescent="0.3">
      <c r="A394" s="2">
        <v>1247</v>
      </c>
      <c r="B394" s="2" t="s">
        <v>52</v>
      </c>
      <c r="C394" s="2" t="s">
        <v>53</v>
      </c>
      <c r="D394" s="2" t="s">
        <v>25</v>
      </c>
      <c r="E394" s="2" t="s">
        <v>19</v>
      </c>
      <c r="F394" s="2" t="s">
        <v>48</v>
      </c>
      <c r="G394" s="2" t="s">
        <v>78</v>
      </c>
      <c r="H394" s="2">
        <v>73</v>
      </c>
      <c r="I394" s="3">
        <v>577</v>
      </c>
      <c r="J394" s="3">
        <v>42121</v>
      </c>
      <c r="K394" s="2">
        <v>20</v>
      </c>
      <c r="L394" s="3">
        <v>33696.800000000003</v>
      </c>
      <c r="M394" s="3">
        <v>18723.330000000002</v>
      </c>
      <c r="N394" s="3">
        <v>14973.47</v>
      </c>
      <c r="O394" s="4">
        <v>44.44</v>
      </c>
      <c r="P394" s="2" t="s">
        <v>41</v>
      </c>
    </row>
    <row r="395" spans="1:16" x14ac:dyDescent="0.3">
      <c r="A395" s="5">
        <v>1108</v>
      </c>
      <c r="B395" s="5" t="s">
        <v>23</v>
      </c>
      <c r="C395" s="5" t="s">
        <v>24</v>
      </c>
      <c r="D395" s="5" t="s">
        <v>25</v>
      </c>
      <c r="E395" s="5" t="s">
        <v>26</v>
      </c>
      <c r="F395" s="5" t="s">
        <v>37</v>
      </c>
      <c r="G395" s="5" t="s">
        <v>38</v>
      </c>
      <c r="H395" s="5">
        <v>135</v>
      </c>
      <c r="I395" s="6">
        <v>1843</v>
      </c>
      <c r="J395" s="6">
        <v>248805</v>
      </c>
      <c r="K395" s="5">
        <v>0</v>
      </c>
      <c r="L395" s="6">
        <v>248805</v>
      </c>
      <c r="M395" s="6">
        <v>171509.52</v>
      </c>
      <c r="N395" s="6">
        <v>77295.48</v>
      </c>
      <c r="O395" s="7">
        <v>31.07</v>
      </c>
      <c r="P395" s="5" t="s">
        <v>22</v>
      </c>
    </row>
    <row r="396" spans="1:16" x14ac:dyDescent="0.3">
      <c r="A396" s="2">
        <v>1014</v>
      </c>
      <c r="B396" s="2" t="s">
        <v>62</v>
      </c>
      <c r="C396" s="2" t="s">
        <v>63</v>
      </c>
      <c r="D396" s="2" t="s">
        <v>25</v>
      </c>
      <c r="E396" s="2" t="s">
        <v>26</v>
      </c>
      <c r="F396" s="2" t="s">
        <v>32</v>
      </c>
      <c r="G396" s="2" t="s">
        <v>33</v>
      </c>
      <c r="H396" s="2">
        <v>43</v>
      </c>
      <c r="I396" s="3">
        <v>9064</v>
      </c>
      <c r="J396" s="3">
        <v>389752</v>
      </c>
      <c r="K396" s="2">
        <v>10</v>
      </c>
      <c r="L396" s="3">
        <v>350776.8</v>
      </c>
      <c r="M396" s="3">
        <v>214035.14</v>
      </c>
      <c r="N396" s="3">
        <v>136741.66</v>
      </c>
      <c r="O396" s="4">
        <v>38.979999999999997</v>
      </c>
      <c r="P396" s="2" t="s">
        <v>29</v>
      </c>
    </row>
    <row r="397" spans="1:16" x14ac:dyDescent="0.3">
      <c r="A397" s="5">
        <v>1593</v>
      </c>
      <c r="B397" s="5" t="s">
        <v>73</v>
      </c>
      <c r="C397" s="5" t="s">
        <v>74</v>
      </c>
      <c r="D397" s="5" t="s">
        <v>56</v>
      </c>
      <c r="E397" s="5" t="s">
        <v>44</v>
      </c>
      <c r="F397" s="5" t="s">
        <v>20</v>
      </c>
      <c r="G397" s="5" t="s">
        <v>21</v>
      </c>
      <c r="H397" s="5">
        <v>58</v>
      </c>
      <c r="I397" s="6">
        <v>111</v>
      </c>
      <c r="J397" s="6">
        <v>6438</v>
      </c>
      <c r="K397" s="5">
        <v>0</v>
      </c>
      <c r="L397" s="6">
        <v>6438</v>
      </c>
      <c r="M397" s="6">
        <v>3587.4</v>
      </c>
      <c r="N397" s="6">
        <v>2850.6</v>
      </c>
      <c r="O397" s="7">
        <v>44.28</v>
      </c>
      <c r="P397" s="5" t="s">
        <v>39</v>
      </c>
    </row>
    <row r="398" spans="1:16" x14ac:dyDescent="0.3">
      <c r="A398" s="2">
        <v>1357</v>
      </c>
      <c r="B398" s="2" t="s">
        <v>57</v>
      </c>
      <c r="C398" s="2" t="s">
        <v>58</v>
      </c>
      <c r="D398" s="2" t="s">
        <v>56</v>
      </c>
      <c r="E398" s="2" t="s">
        <v>42</v>
      </c>
      <c r="F398" s="2" t="s">
        <v>37</v>
      </c>
      <c r="G398" s="2" t="s">
        <v>79</v>
      </c>
      <c r="H398" s="2">
        <v>50</v>
      </c>
      <c r="I398" s="3">
        <v>1279</v>
      </c>
      <c r="J398" s="3">
        <v>63950</v>
      </c>
      <c r="K398" s="2">
        <v>5</v>
      </c>
      <c r="L398" s="3">
        <v>60752.5</v>
      </c>
      <c r="M398" s="3">
        <v>41916.410000000003</v>
      </c>
      <c r="N398" s="3">
        <v>18836.09</v>
      </c>
      <c r="O398" s="4">
        <v>31</v>
      </c>
      <c r="P398" s="2" t="s">
        <v>50</v>
      </c>
    </row>
    <row r="399" spans="1:16" x14ac:dyDescent="0.3">
      <c r="A399" s="2">
        <v>1918</v>
      </c>
      <c r="B399" s="2" t="s">
        <v>34</v>
      </c>
      <c r="C399" s="2" t="s">
        <v>35</v>
      </c>
      <c r="D399" s="2" t="s">
        <v>36</v>
      </c>
      <c r="E399" s="2" t="s">
        <v>26</v>
      </c>
      <c r="F399" s="2" t="s">
        <v>20</v>
      </c>
      <c r="G399" s="2" t="s">
        <v>21</v>
      </c>
      <c r="H399" s="2">
        <v>184</v>
      </c>
      <c r="I399" s="3">
        <v>116</v>
      </c>
      <c r="J399" s="3">
        <v>21344</v>
      </c>
      <c r="K399" s="2">
        <v>15</v>
      </c>
      <c r="L399" s="3">
        <v>18142.400000000001</v>
      </c>
      <c r="M399" s="3">
        <v>11111.83</v>
      </c>
      <c r="N399" s="3">
        <v>7030.57</v>
      </c>
      <c r="O399" s="4">
        <v>38.75</v>
      </c>
      <c r="P399" s="2" t="s">
        <v>29</v>
      </c>
    </row>
    <row r="400" spans="1:16" x14ac:dyDescent="0.3">
      <c r="A400" s="5">
        <v>1695</v>
      </c>
      <c r="B400" s="5" t="s">
        <v>16</v>
      </c>
      <c r="C400" s="5" t="s">
        <v>17</v>
      </c>
      <c r="D400" s="5" t="s">
        <v>18</v>
      </c>
      <c r="E400" s="5" t="s">
        <v>44</v>
      </c>
      <c r="F400" s="5" t="s">
        <v>20</v>
      </c>
      <c r="G400" s="5" t="s">
        <v>60</v>
      </c>
      <c r="H400" s="5">
        <v>89</v>
      </c>
      <c r="I400" s="6">
        <v>83</v>
      </c>
      <c r="J400" s="6">
        <v>7387</v>
      </c>
      <c r="K400" s="5">
        <v>20</v>
      </c>
      <c r="L400" s="6">
        <v>5909.6</v>
      </c>
      <c r="M400" s="6">
        <v>3910.89</v>
      </c>
      <c r="N400" s="6">
        <v>1998.71</v>
      </c>
      <c r="O400" s="7">
        <v>33.82</v>
      </c>
      <c r="P400" s="5" t="s">
        <v>43</v>
      </c>
    </row>
    <row r="401" spans="1:16" x14ac:dyDescent="0.3">
      <c r="A401" s="2">
        <v>1008</v>
      </c>
      <c r="B401" s="2" t="s">
        <v>62</v>
      </c>
      <c r="C401" s="2" t="s">
        <v>63</v>
      </c>
      <c r="D401" s="2" t="s">
        <v>25</v>
      </c>
      <c r="E401" s="2" t="s">
        <v>26</v>
      </c>
      <c r="F401" s="2" t="s">
        <v>37</v>
      </c>
      <c r="G401" s="2" t="s">
        <v>38</v>
      </c>
      <c r="H401" s="2">
        <v>26</v>
      </c>
      <c r="I401" s="3">
        <v>1917</v>
      </c>
      <c r="J401" s="3">
        <v>49842</v>
      </c>
      <c r="K401" s="2">
        <v>10</v>
      </c>
      <c r="L401" s="3">
        <v>44857.8</v>
      </c>
      <c r="M401" s="3">
        <v>28556.6</v>
      </c>
      <c r="N401" s="3">
        <v>16301.2</v>
      </c>
      <c r="O401" s="4">
        <v>36.340000000000003</v>
      </c>
      <c r="P401" s="2" t="s">
        <v>29</v>
      </c>
    </row>
    <row r="402" spans="1:16" x14ac:dyDescent="0.3">
      <c r="A402" s="5">
        <v>1070</v>
      </c>
      <c r="B402" s="5" t="s">
        <v>62</v>
      </c>
      <c r="C402" s="5" t="s">
        <v>63</v>
      </c>
      <c r="D402" s="5" t="s">
        <v>25</v>
      </c>
      <c r="E402" s="5" t="s">
        <v>42</v>
      </c>
      <c r="F402" s="5" t="s">
        <v>20</v>
      </c>
      <c r="G402" s="5" t="s">
        <v>60</v>
      </c>
      <c r="H402" s="5">
        <v>55</v>
      </c>
      <c r="I402" s="6">
        <v>90</v>
      </c>
      <c r="J402" s="6">
        <v>4950</v>
      </c>
      <c r="K402" s="5">
        <v>10</v>
      </c>
      <c r="L402" s="6">
        <v>4455</v>
      </c>
      <c r="M402" s="6">
        <v>3077.9</v>
      </c>
      <c r="N402" s="6">
        <v>1377.1</v>
      </c>
      <c r="O402" s="7">
        <v>30.91</v>
      </c>
      <c r="P402" s="5" t="s">
        <v>29</v>
      </c>
    </row>
    <row r="403" spans="1:16" x14ac:dyDescent="0.3">
      <c r="A403" s="2">
        <v>2171</v>
      </c>
      <c r="B403" s="2" t="s">
        <v>46</v>
      </c>
      <c r="C403" s="2" t="s">
        <v>47</v>
      </c>
      <c r="D403" s="2" t="s">
        <v>36</v>
      </c>
      <c r="E403" s="2" t="s">
        <v>42</v>
      </c>
      <c r="F403" s="2" t="s">
        <v>48</v>
      </c>
      <c r="G403" s="2" t="s">
        <v>69</v>
      </c>
      <c r="H403" s="2">
        <v>112</v>
      </c>
      <c r="I403" s="3">
        <v>1252</v>
      </c>
      <c r="J403" s="3">
        <v>140224</v>
      </c>
      <c r="K403" s="2">
        <v>15</v>
      </c>
      <c r="L403" s="3">
        <v>119190.39999999999</v>
      </c>
      <c r="M403" s="3">
        <v>72163.17</v>
      </c>
      <c r="N403" s="3">
        <v>47027.23</v>
      </c>
      <c r="O403" s="4">
        <v>39.46</v>
      </c>
      <c r="P403" s="2" t="s">
        <v>41</v>
      </c>
    </row>
    <row r="404" spans="1:16" x14ac:dyDescent="0.3">
      <c r="A404" s="5">
        <v>1620</v>
      </c>
      <c r="B404" s="5" t="s">
        <v>16</v>
      </c>
      <c r="C404" s="5" t="s">
        <v>17</v>
      </c>
      <c r="D404" s="5" t="s">
        <v>18</v>
      </c>
      <c r="E404" s="5" t="s">
        <v>26</v>
      </c>
      <c r="F404" s="5" t="s">
        <v>20</v>
      </c>
      <c r="G404" s="5" t="s">
        <v>60</v>
      </c>
      <c r="H404" s="5">
        <v>88</v>
      </c>
      <c r="I404" s="6">
        <v>90</v>
      </c>
      <c r="J404" s="6">
        <v>7920</v>
      </c>
      <c r="K404" s="5">
        <v>20</v>
      </c>
      <c r="L404" s="6">
        <v>6336</v>
      </c>
      <c r="M404" s="6">
        <v>3520.41</v>
      </c>
      <c r="N404" s="6">
        <v>2815.59</v>
      </c>
      <c r="O404" s="7">
        <v>44.44</v>
      </c>
      <c r="P404" s="5" t="s">
        <v>50</v>
      </c>
    </row>
    <row r="405" spans="1:16" x14ac:dyDescent="0.3">
      <c r="A405" s="2">
        <v>2115</v>
      </c>
      <c r="B405" s="2" t="s">
        <v>46</v>
      </c>
      <c r="C405" s="2" t="s">
        <v>47</v>
      </c>
      <c r="D405" s="2" t="s">
        <v>36</v>
      </c>
      <c r="E405" s="2" t="s">
        <v>26</v>
      </c>
      <c r="F405" s="2" t="s">
        <v>32</v>
      </c>
      <c r="G405" s="2" t="s">
        <v>65</v>
      </c>
      <c r="H405" s="2">
        <v>57</v>
      </c>
      <c r="I405" s="3">
        <v>4649</v>
      </c>
      <c r="J405" s="3">
        <v>264993</v>
      </c>
      <c r="K405" s="2">
        <v>20</v>
      </c>
      <c r="L405" s="3">
        <v>211994.4</v>
      </c>
      <c r="M405" s="3">
        <v>132417.47</v>
      </c>
      <c r="N405" s="3">
        <v>79576.929999999993</v>
      </c>
      <c r="O405" s="4">
        <v>37.54</v>
      </c>
      <c r="P405" s="2" t="s">
        <v>61</v>
      </c>
    </row>
    <row r="406" spans="1:16" x14ac:dyDescent="0.3">
      <c r="A406" s="5">
        <v>1435</v>
      </c>
      <c r="B406" s="5" t="s">
        <v>54</v>
      </c>
      <c r="C406" s="5" t="s">
        <v>55</v>
      </c>
      <c r="D406" s="5" t="s">
        <v>56</v>
      </c>
      <c r="E406" s="5" t="s">
        <v>19</v>
      </c>
      <c r="F406" s="5" t="s">
        <v>37</v>
      </c>
      <c r="G406" s="5" t="s">
        <v>67</v>
      </c>
      <c r="H406" s="5">
        <v>26</v>
      </c>
      <c r="I406" s="6">
        <v>1777</v>
      </c>
      <c r="J406" s="6">
        <v>46202</v>
      </c>
      <c r="K406" s="5">
        <v>0</v>
      </c>
      <c r="L406" s="6">
        <v>46202</v>
      </c>
      <c r="M406" s="6">
        <v>27771.51</v>
      </c>
      <c r="N406" s="6">
        <v>18430.490000000002</v>
      </c>
      <c r="O406" s="7">
        <v>39.89</v>
      </c>
      <c r="P406" s="5" t="s">
        <v>22</v>
      </c>
    </row>
    <row r="407" spans="1:16" x14ac:dyDescent="0.3">
      <c r="A407" s="5">
        <v>2047</v>
      </c>
      <c r="B407" s="5" t="s">
        <v>76</v>
      </c>
      <c r="C407" s="5" t="s">
        <v>77</v>
      </c>
      <c r="D407" s="5" t="s">
        <v>36</v>
      </c>
      <c r="E407" s="5" t="s">
        <v>19</v>
      </c>
      <c r="F407" s="5" t="s">
        <v>48</v>
      </c>
      <c r="G407" s="5" t="s">
        <v>78</v>
      </c>
      <c r="H407" s="5">
        <v>93</v>
      </c>
      <c r="I407" s="6">
        <v>567</v>
      </c>
      <c r="J407" s="6">
        <v>52731</v>
      </c>
      <c r="K407" s="5">
        <v>15</v>
      </c>
      <c r="L407" s="6">
        <v>44821.35</v>
      </c>
      <c r="M407" s="6">
        <v>28716.41</v>
      </c>
      <c r="N407" s="6">
        <v>16104.94</v>
      </c>
      <c r="O407" s="7">
        <v>35.93</v>
      </c>
      <c r="P407" s="5" t="s">
        <v>39</v>
      </c>
    </row>
    <row r="408" spans="1:16" x14ac:dyDescent="0.3">
      <c r="A408" s="2">
        <v>1651</v>
      </c>
      <c r="B408" s="2" t="s">
        <v>16</v>
      </c>
      <c r="C408" s="2" t="s">
        <v>17</v>
      </c>
      <c r="D408" s="2" t="s">
        <v>18</v>
      </c>
      <c r="E408" s="2" t="s">
        <v>42</v>
      </c>
      <c r="F408" s="2" t="s">
        <v>27</v>
      </c>
      <c r="G408" s="2" t="s">
        <v>85</v>
      </c>
      <c r="H408" s="2">
        <v>96</v>
      </c>
      <c r="I408" s="3">
        <v>11083</v>
      </c>
      <c r="J408" s="3">
        <v>1063968</v>
      </c>
      <c r="K408" s="2">
        <v>0</v>
      </c>
      <c r="L408" s="3">
        <v>1063968</v>
      </c>
      <c r="M408" s="3">
        <v>723454.62</v>
      </c>
      <c r="N408" s="3">
        <v>340513.38</v>
      </c>
      <c r="O408" s="4">
        <v>32</v>
      </c>
      <c r="P408" s="2" t="s">
        <v>29</v>
      </c>
    </row>
    <row r="409" spans="1:16" x14ac:dyDescent="0.3">
      <c r="A409" s="5">
        <v>1354</v>
      </c>
      <c r="B409" s="5" t="s">
        <v>57</v>
      </c>
      <c r="C409" s="5" t="s">
        <v>58</v>
      </c>
      <c r="D409" s="5" t="s">
        <v>56</v>
      </c>
      <c r="E409" s="5" t="s">
        <v>42</v>
      </c>
      <c r="F409" s="5" t="s">
        <v>27</v>
      </c>
      <c r="G409" s="5" t="s">
        <v>66</v>
      </c>
      <c r="H409" s="5">
        <v>60</v>
      </c>
      <c r="I409" s="6">
        <v>812</v>
      </c>
      <c r="J409" s="6">
        <v>48720</v>
      </c>
      <c r="K409" s="5">
        <v>15</v>
      </c>
      <c r="L409" s="6">
        <v>41412</v>
      </c>
      <c r="M409" s="6">
        <v>28340.880000000001</v>
      </c>
      <c r="N409" s="6">
        <v>13071.12</v>
      </c>
      <c r="O409" s="7">
        <v>31.56</v>
      </c>
      <c r="P409" s="5" t="s">
        <v>22</v>
      </c>
    </row>
    <row r="410" spans="1:16" x14ac:dyDescent="0.3">
      <c r="A410" s="2">
        <v>2181</v>
      </c>
      <c r="B410" s="2" t="s">
        <v>46</v>
      </c>
      <c r="C410" s="2" t="s">
        <v>47</v>
      </c>
      <c r="D410" s="2" t="s">
        <v>36</v>
      </c>
      <c r="E410" s="2" t="s">
        <v>44</v>
      </c>
      <c r="F410" s="2" t="s">
        <v>37</v>
      </c>
      <c r="G410" s="2" t="s">
        <v>59</v>
      </c>
      <c r="H410" s="2">
        <v>60</v>
      </c>
      <c r="I410" s="3">
        <v>480</v>
      </c>
      <c r="J410" s="3">
        <v>28800</v>
      </c>
      <c r="K410" s="2">
        <v>20</v>
      </c>
      <c r="L410" s="3">
        <v>23040</v>
      </c>
      <c r="M410" s="3">
        <v>13101.16</v>
      </c>
      <c r="N410" s="3">
        <v>9938.84</v>
      </c>
      <c r="O410" s="4">
        <v>43.14</v>
      </c>
      <c r="P410" s="2" t="s">
        <v>50</v>
      </c>
    </row>
    <row r="411" spans="1:16" x14ac:dyDescent="0.3">
      <c r="A411" s="5">
        <v>1897</v>
      </c>
      <c r="B411" s="5" t="s">
        <v>70</v>
      </c>
      <c r="C411" s="5" t="s">
        <v>71</v>
      </c>
      <c r="D411" s="5" t="s">
        <v>18</v>
      </c>
      <c r="E411" s="5" t="s">
        <v>44</v>
      </c>
      <c r="F411" s="5" t="s">
        <v>48</v>
      </c>
      <c r="G411" s="5" t="s">
        <v>78</v>
      </c>
      <c r="H411" s="5">
        <v>25</v>
      </c>
      <c r="I411" s="6">
        <v>617</v>
      </c>
      <c r="J411" s="6">
        <v>15425</v>
      </c>
      <c r="K411" s="5">
        <v>15</v>
      </c>
      <c r="L411" s="6">
        <v>13111.25</v>
      </c>
      <c r="M411" s="6">
        <v>8505.11</v>
      </c>
      <c r="N411" s="6">
        <v>4606.1400000000003</v>
      </c>
      <c r="O411" s="7">
        <v>35.130000000000003</v>
      </c>
      <c r="P411" s="5" t="s">
        <v>50</v>
      </c>
    </row>
    <row r="412" spans="1:16" x14ac:dyDescent="0.3">
      <c r="A412" s="2">
        <v>1485</v>
      </c>
      <c r="B412" s="2" t="s">
        <v>54</v>
      </c>
      <c r="C412" s="2" t="s">
        <v>55</v>
      </c>
      <c r="D412" s="2" t="s">
        <v>56</v>
      </c>
      <c r="E412" s="2" t="s">
        <v>44</v>
      </c>
      <c r="F412" s="2" t="s">
        <v>37</v>
      </c>
      <c r="G412" s="2" t="s">
        <v>67</v>
      </c>
      <c r="H412" s="2">
        <v>43</v>
      </c>
      <c r="I412" s="3">
        <v>1785</v>
      </c>
      <c r="J412" s="3">
        <v>76755</v>
      </c>
      <c r="K412" s="2">
        <v>20</v>
      </c>
      <c r="L412" s="3">
        <v>61404</v>
      </c>
      <c r="M412" s="3">
        <v>38835.51</v>
      </c>
      <c r="N412" s="3">
        <v>22568.49</v>
      </c>
      <c r="O412" s="4">
        <v>36.75</v>
      </c>
      <c r="P412" s="2" t="s">
        <v>29</v>
      </c>
    </row>
    <row r="413" spans="1:16" x14ac:dyDescent="0.3">
      <c r="A413" s="5">
        <v>1880</v>
      </c>
      <c r="B413" s="5" t="s">
        <v>70</v>
      </c>
      <c r="C413" s="5" t="s">
        <v>71</v>
      </c>
      <c r="D413" s="5" t="s">
        <v>18</v>
      </c>
      <c r="E413" s="5" t="s">
        <v>44</v>
      </c>
      <c r="F413" s="5" t="s">
        <v>27</v>
      </c>
      <c r="G413" s="5" t="s">
        <v>84</v>
      </c>
      <c r="H413" s="5">
        <v>138</v>
      </c>
      <c r="I413" s="6">
        <v>14153</v>
      </c>
      <c r="J413" s="6">
        <v>1953114</v>
      </c>
      <c r="K413" s="5">
        <v>0</v>
      </c>
      <c r="L413" s="6">
        <v>1953114</v>
      </c>
      <c r="M413" s="6">
        <v>1143342.93</v>
      </c>
      <c r="N413" s="6">
        <v>809771.07</v>
      </c>
      <c r="O413" s="7">
        <v>41.46</v>
      </c>
      <c r="P413" s="5" t="s">
        <v>22</v>
      </c>
    </row>
    <row r="414" spans="1:16" x14ac:dyDescent="0.3">
      <c r="A414" s="2">
        <v>1156</v>
      </c>
      <c r="B414" s="2" t="s">
        <v>23</v>
      </c>
      <c r="C414" s="2" t="s">
        <v>24</v>
      </c>
      <c r="D414" s="2" t="s">
        <v>25</v>
      </c>
      <c r="E414" s="2" t="s">
        <v>42</v>
      </c>
      <c r="F414" s="2" t="s">
        <v>37</v>
      </c>
      <c r="G414" s="2" t="s">
        <v>59</v>
      </c>
      <c r="H414" s="2">
        <v>76</v>
      </c>
      <c r="I414" s="3">
        <v>477</v>
      </c>
      <c r="J414" s="3">
        <v>36252</v>
      </c>
      <c r="K414" s="2">
        <v>20</v>
      </c>
      <c r="L414" s="3">
        <v>29001.599999999999</v>
      </c>
      <c r="M414" s="3">
        <v>20215.18</v>
      </c>
      <c r="N414" s="3">
        <v>8786.42</v>
      </c>
      <c r="O414" s="4">
        <v>30.3</v>
      </c>
      <c r="P414" s="2" t="s">
        <v>45</v>
      </c>
    </row>
    <row r="415" spans="1:16" x14ac:dyDescent="0.3">
      <c r="A415" s="5">
        <v>1250</v>
      </c>
      <c r="B415" s="5" t="s">
        <v>52</v>
      </c>
      <c r="C415" s="5" t="s">
        <v>53</v>
      </c>
      <c r="D415" s="5" t="s">
        <v>25</v>
      </c>
      <c r="E415" s="5" t="s">
        <v>19</v>
      </c>
      <c r="F415" s="5" t="s">
        <v>48</v>
      </c>
      <c r="G415" s="5" t="s">
        <v>72</v>
      </c>
      <c r="H415" s="5">
        <v>52</v>
      </c>
      <c r="I415" s="6">
        <v>3483</v>
      </c>
      <c r="J415" s="6">
        <v>181116</v>
      </c>
      <c r="K415" s="5">
        <v>0</v>
      </c>
      <c r="L415" s="6">
        <v>181116</v>
      </c>
      <c r="M415" s="6">
        <v>125632.63</v>
      </c>
      <c r="N415" s="6">
        <v>55483.37</v>
      </c>
      <c r="O415" s="7">
        <v>30.63</v>
      </c>
      <c r="P415" s="5" t="s">
        <v>39</v>
      </c>
    </row>
    <row r="416" spans="1:16" x14ac:dyDescent="0.3">
      <c r="A416" s="2">
        <v>2124</v>
      </c>
      <c r="B416" s="2" t="s">
        <v>46</v>
      </c>
      <c r="C416" s="2" t="s">
        <v>47</v>
      </c>
      <c r="D416" s="2" t="s">
        <v>36</v>
      </c>
      <c r="E416" s="2" t="s">
        <v>26</v>
      </c>
      <c r="F416" s="2" t="s">
        <v>48</v>
      </c>
      <c r="G416" s="2" t="s">
        <v>51</v>
      </c>
      <c r="H416" s="2">
        <v>62</v>
      </c>
      <c r="I416" s="3">
        <v>2088</v>
      </c>
      <c r="J416" s="3">
        <v>129456</v>
      </c>
      <c r="K416" s="2">
        <v>10</v>
      </c>
      <c r="L416" s="3">
        <v>116510.39999999999</v>
      </c>
      <c r="M416" s="3">
        <v>81130.080000000002</v>
      </c>
      <c r="N416" s="3">
        <v>35380.32</v>
      </c>
      <c r="O416" s="4">
        <v>30.37</v>
      </c>
      <c r="P416" s="2" t="s">
        <v>45</v>
      </c>
    </row>
    <row r="417" spans="1:16" x14ac:dyDescent="0.3">
      <c r="A417" s="5">
        <v>2107</v>
      </c>
      <c r="B417" s="5" t="s">
        <v>46</v>
      </c>
      <c r="C417" s="5" t="s">
        <v>47</v>
      </c>
      <c r="D417" s="5" t="s">
        <v>36</v>
      </c>
      <c r="E417" s="5" t="s">
        <v>26</v>
      </c>
      <c r="F417" s="5" t="s">
        <v>37</v>
      </c>
      <c r="G417" s="5" t="s">
        <v>79</v>
      </c>
      <c r="H417" s="5">
        <v>61</v>
      </c>
      <c r="I417" s="6">
        <v>1270</v>
      </c>
      <c r="J417" s="6">
        <v>77470</v>
      </c>
      <c r="K417" s="5">
        <v>15</v>
      </c>
      <c r="L417" s="6">
        <v>65849.5</v>
      </c>
      <c r="M417" s="6">
        <v>43898.52</v>
      </c>
      <c r="N417" s="6">
        <v>21950.98</v>
      </c>
      <c r="O417" s="7">
        <v>33.340000000000003</v>
      </c>
      <c r="P417" s="5" t="s">
        <v>43</v>
      </c>
    </row>
    <row r="418" spans="1:16" x14ac:dyDescent="0.3">
      <c r="A418" s="2">
        <v>1382</v>
      </c>
      <c r="B418" s="2" t="s">
        <v>57</v>
      </c>
      <c r="C418" s="2" t="s">
        <v>58</v>
      </c>
      <c r="D418" s="2" t="s">
        <v>56</v>
      </c>
      <c r="E418" s="2" t="s">
        <v>44</v>
      </c>
      <c r="F418" s="2" t="s">
        <v>37</v>
      </c>
      <c r="G418" s="2" t="s">
        <v>79</v>
      </c>
      <c r="H418" s="2">
        <v>125</v>
      </c>
      <c r="I418" s="3">
        <v>1189</v>
      </c>
      <c r="J418" s="3">
        <v>148625</v>
      </c>
      <c r="K418" s="2">
        <v>15</v>
      </c>
      <c r="L418" s="3">
        <v>126331.25</v>
      </c>
      <c r="M418" s="3">
        <v>78138.38</v>
      </c>
      <c r="N418" s="3">
        <v>48192.87</v>
      </c>
      <c r="O418" s="4">
        <v>38.15</v>
      </c>
      <c r="P418" s="2" t="s">
        <v>43</v>
      </c>
    </row>
    <row r="419" spans="1:16" x14ac:dyDescent="0.3">
      <c r="A419" s="5">
        <v>1592</v>
      </c>
      <c r="B419" s="5" t="s">
        <v>73</v>
      </c>
      <c r="C419" s="5" t="s">
        <v>74</v>
      </c>
      <c r="D419" s="5" t="s">
        <v>56</v>
      </c>
      <c r="E419" s="5" t="s">
        <v>44</v>
      </c>
      <c r="F419" s="5" t="s">
        <v>20</v>
      </c>
      <c r="G419" s="5" t="s">
        <v>80</v>
      </c>
      <c r="H419" s="5">
        <v>85</v>
      </c>
      <c r="I419" s="6">
        <v>76</v>
      </c>
      <c r="J419" s="6">
        <v>6460</v>
      </c>
      <c r="K419" s="5">
        <v>5</v>
      </c>
      <c r="L419" s="6">
        <v>6137</v>
      </c>
      <c r="M419" s="6">
        <v>4013.45</v>
      </c>
      <c r="N419" s="6">
        <v>2123.5500000000002</v>
      </c>
      <c r="O419" s="7">
        <v>34.6</v>
      </c>
      <c r="P419" s="5" t="s">
        <v>41</v>
      </c>
    </row>
    <row r="420" spans="1:16" x14ac:dyDescent="0.3">
      <c r="A420" s="2">
        <v>1208</v>
      </c>
      <c r="B420" s="2" t="s">
        <v>52</v>
      </c>
      <c r="C420" s="2" t="s">
        <v>53</v>
      </c>
      <c r="D420" s="2" t="s">
        <v>25</v>
      </c>
      <c r="E420" s="2" t="s">
        <v>26</v>
      </c>
      <c r="F420" s="2" t="s">
        <v>37</v>
      </c>
      <c r="G420" s="2" t="s">
        <v>38</v>
      </c>
      <c r="H420" s="2">
        <v>141</v>
      </c>
      <c r="I420" s="3">
        <v>1817</v>
      </c>
      <c r="J420" s="3">
        <v>256197</v>
      </c>
      <c r="K420" s="2">
        <v>5</v>
      </c>
      <c r="L420" s="3">
        <v>243387.15</v>
      </c>
      <c r="M420" s="3">
        <v>150585.18</v>
      </c>
      <c r="N420" s="3">
        <v>92801.97</v>
      </c>
      <c r="O420" s="4">
        <v>38.130000000000003</v>
      </c>
      <c r="P420" s="2" t="s">
        <v>43</v>
      </c>
    </row>
    <row r="421" spans="1:16" x14ac:dyDescent="0.3">
      <c r="A421" s="5">
        <v>1355</v>
      </c>
      <c r="B421" s="5" t="s">
        <v>57</v>
      </c>
      <c r="C421" s="5" t="s">
        <v>58</v>
      </c>
      <c r="D421" s="5" t="s">
        <v>56</v>
      </c>
      <c r="E421" s="5" t="s">
        <v>42</v>
      </c>
      <c r="F421" s="5" t="s">
        <v>27</v>
      </c>
      <c r="G421" s="5" t="s">
        <v>84</v>
      </c>
      <c r="H421" s="5">
        <v>132</v>
      </c>
      <c r="I421" s="6">
        <v>16364</v>
      </c>
      <c r="J421" s="6">
        <v>2160048</v>
      </c>
      <c r="K421" s="5">
        <v>0</v>
      </c>
      <c r="L421" s="6">
        <v>2160048</v>
      </c>
      <c r="M421" s="6">
        <v>1282135.1499999999</v>
      </c>
      <c r="N421" s="6">
        <v>877912.85</v>
      </c>
      <c r="O421" s="7">
        <v>40.64</v>
      </c>
      <c r="P421" s="5" t="s">
        <v>50</v>
      </c>
    </row>
    <row r="422" spans="1:16" x14ac:dyDescent="0.3">
      <c r="A422" s="2">
        <v>2129</v>
      </c>
      <c r="B422" s="2" t="s">
        <v>46</v>
      </c>
      <c r="C422" s="2" t="s">
        <v>47</v>
      </c>
      <c r="D422" s="2" t="s">
        <v>36</v>
      </c>
      <c r="E422" s="2" t="s">
        <v>19</v>
      </c>
      <c r="F422" s="2" t="s">
        <v>27</v>
      </c>
      <c r="G422" s="2" t="s">
        <v>66</v>
      </c>
      <c r="H422" s="2">
        <v>138</v>
      </c>
      <c r="I422" s="3">
        <v>854</v>
      </c>
      <c r="J422" s="3">
        <v>117852</v>
      </c>
      <c r="K422" s="2">
        <v>5</v>
      </c>
      <c r="L422" s="3">
        <v>111959.4</v>
      </c>
      <c r="M422" s="3">
        <v>61821.25</v>
      </c>
      <c r="N422" s="3">
        <v>50138.15</v>
      </c>
      <c r="O422" s="4">
        <v>44.78</v>
      </c>
      <c r="P422" s="2" t="s">
        <v>22</v>
      </c>
    </row>
    <row r="423" spans="1:16" x14ac:dyDescent="0.3">
      <c r="A423" s="5">
        <v>2022</v>
      </c>
      <c r="B423" s="5" t="s">
        <v>76</v>
      </c>
      <c r="C423" s="5" t="s">
        <v>77</v>
      </c>
      <c r="D423" s="5" t="s">
        <v>36</v>
      </c>
      <c r="E423" s="5" t="s">
        <v>26</v>
      </c>
      <c r="F423" s="5" t="s">
        <v>48</v>
      </c>
      <c r="G423" s="5" t="s">
        <v>78</v>
      </c>
      <c r="H423" s="5">
        <v>59</v>
      </c>
      <c r="I423" s="6">
        <v>647</v>
      </c>
      <c r="J423" s="6">
        <v>38173</v>
      </c>
      <c r="K423" s="5">
        <v>5</v>
      </c>
      <c r="L423" s="6">
        <v>36264.35</v>
      </c>
      <c r="M423" s="6">
        <v>24911.040000000001</v>
      </c>
      <c r="N423" s="6">
        <v>11353.31</v>
      </c>
      <c r="O423" s="7">
        <v>31.31</v>
      </c>
      <c r="P423" s="5" t="s">
        <v>22</v>
      </c>
    </row>
    <row r="424" spans="1:16" x14ac:dyDescent="0.3">
      <c r="A424" s="2">
        <v>1783</v>
      </c>
      <c r="B424" s="2" t="s">
        <v>30</v>
      </c>
      <c r="C424" s="2" t="s">
        <v>31</v>
      </c>
      <c r="D424" s="2" t="s">
        <v>18</v>
      </c>
      <c r="E424" s="2" t="s">
        <v>44</v>
      </c>
      <c r="F424" s="2" t="s">
        <v>37</v>
      </c>
      <c r="G424" s="2" t="s">
        <v>38</v>
      </c>
      <c r="H424" s="2">
        <v>157</v>
      </c>
      <c r="I424" s="3">
        <v>1887</v>
      </c>
      <c r="J424" s="3">
        <v>296259</v>
      </c>
      <c r="K424" s="2">
        <v>20</v>
      </c>
      <c r="L424" s="3">
        <v>237007.2</v>
      </c>
      <c r="M424" s="3">
        <v>161187.5</v>
      </c>
      <c r="N424" s="3">
        <v>75819.7</v>
      </c>
      <c r="O424" s="4">
        <v>31.99</v>
      </c>
      <c r="P424" s="2" t="s">
        <v>61</v>
      </c>
    </row>
    <row r="425" spans="1:16" x14ac:dyDescent="0.3">
      <c r="A425" s="5">
        <v>2123</v>
      </c>
      <c r="B425" s="5" t="s">
        <v>46</v>
      </c>
      <c r="C425" s="5" t="s">
        <v>47</v>
      </c>
      <c r="D425" s="5" t="s">
        <v>36</v>
      </c>
      <c r="E425" s="5" t="s">
        <v>26</v>
      </c>
      <c r="F425" s="5" t="s">
        <v>48</v>
      </c>
      <c r="G425" s="5" t="s">
        <v>49</v>
      </c>
      <c r="H425" s="5">
        <v>64</v>
      </c>
      <c r="I425" s="6">
        <v>868</v>
      </c>
      <c r="J425" s="6">
        <v>55552</v>
      </c>
      <c r="K425" s="5">
        <v>20</v>
      </c>
      <c r="L425" s="6">
        <v>44441.599999999999</v>
      </c>
      <c r="M425" s="6">
        <v>25629.88</v>
      </c>
      <c r="N425" s="6">
        <v>18811.72</v>
      </c>
      <c r="O425" s="7">
        <v>42.33</v>
      </c>
      <c r="P425" s="5" t="s">
        <v>41</v>
      </c>
    </row>
    <row r="426" spans="1:16" x14ac:dyDescent="0.3">
      <c r="A426" s="2">
        <v>1007</v>
      </c>
      <c r="B426" s="2" t="s">
        <v>62</v>
      </c>
      <c r="C426" s="2" t="s">
        <v>63</v>
      </c>
      <c r="D426" s="2" t="s">
        <v>25</v>
      </c>
      <c r="E426" s="2" t="s">
        <v>26</v>
      </c>
      <c r="F426" s="2" t="s">
        <v>37</v>
      </c>
      <c r="G426" s="2" t="s">
        <v>79</v>
      </c>
      <c r="H426" s="2">
        <v>109</v>
      </c>
      <c r="I426" s="3">
        <v>1255</v>
      </c>
      <c r="J426" s="3">
        <v>136795</v>
      </c>
      <c r="K426" s="2">
        <v>0</v>
      </c>
      <c r="L426" s="3">
        <v>136795</v>
      </c>
      <c r="M426" s="3">
        <v>95204.86</v>
      </c>
      <c r="N426" s="3">
        <v>41590.14</v>
      </c>
      <c r="O426" s="4">
        <v>30.4</v>
      </c>
      <c r="P426" s="2" t="s">
        <v>22</v>
      </c>
    </row>
    <row r="427" spans="1:16" x14ac:dyDescent="0.3">
      <c r="A427" s="5">
        <v>1060</v>
      </c>
      <c r="B427" s="5" t="s">
        <v>62</v>
      </c>
      <c r="C427" s="5" t="s">
        <v>63</v>
      </c>
      <c r="D427" s="5" t="s">
        <v>25</v>
      </c>
      <c r="E427" s="5" t="s">
        <v>42</v>
      </c>
      <c r="F427" s="5" t="s">
        <v>37</v>
      </c>
      <c r="G427" s="5" t="s">
        <v>67</v>
      </c>
      <c r="H427" s="5">
        <v>25</v>
      </c>
      <c r="I427" s="6">
        <v>1938</v>
      </c>
      <c r="J427" s="6">
        <v>48450</v>
      </c>
      <c r="K427" s="5">
        <v>0</v>
      </c>
      <c r="L427" s="6">
        <v>48450</v>
      </c>
      <c r="M427" s="6">
        <v>30612.58</v>
      </c>
      <c r="N427" s="6">
        <v>17837.419999999998</v>
      </c>
      <c r="O427" s="7">
        <v>36.82</v>
      </c>
      <c r="P427" s="5" t="s">
        <v>41</v>
      </c>
    </row>
    <row r="428" spans="1:16" x14ac:dyDescent="0.3">
      <c r="A428" s="2">
        <v>1203</v>
      </c>
      <c r="B428" s="2" t="s">
        <v>52</v>
      </c>
      <c r="C428" s="2" t="s">
        <v>53</v>
      </c>
      <c r="D428" s="2" t="s">
        <v>25</v>
      </c>
      <c r="E428" s="2" t="s">
        <v>26</v>
      </c>
      <c r="F428" s="2" t="s">
        <v>27</v>
      </c>
      <c r="G428" s="2" t="s">
        <v>83</v>
      </c>
      <c r="H428" s="2">
        <v>121</v>
      </c>
      <c r="I428" s="3">
        <v>5096</v>
      </c>
      <c r="J428" s="3">
        <v>616616</v>
      </c>
      <c r="K428" s="2">
        <v>5</v>
      </c>
      <c r="L428" s="3">
        <v>585785.19999999995</v>
      </c>
      <c r="M428" s="3">
        <v>397608.1</v>
      </c>
      <c r="N428" s="3">
        <v>188177.1</v>
      </c>
      <c r="O428" s="4">
        <v>32.119999999999997</v>
      </c>
      <c r="P428" s="2" t="s">
        <v>61</v>
      </c>
    </row>
    <row r="429" spans="1:16" x14ac:dyDescent="0.3">
      <c r="A429" s="5">
        <v>1003</v>
      </c>
      <c r="B429" s="5" t="s">
        <v>62</v>
      </c>
      <c r="C429" s="5" t="s">
        <v>63</v>
      </c>
      <c r="D429" s="5" t="s">
        <v>25</v>
      </c>
      <c r="E429" s="5" t="s">
        <v>26</v>
      </c>
      <c r="F429" s="5" t="s">
        <v>27</v>
      </c>
      <c r="G429" s="5" t="s">
        <v>83</v>
      </c>
      <c r="H429" s="5">
        <v>21</v>
      </c>
      <c r="I429" s="6">
        <v>4719</v>
      </c>
      <c r="J429" s="6">
        <v>99099</v>
      </c>
      <c r="K429" s="5">
        <v>0</v>
      </c>
      <c r="L429" s="6">
        <v>99099</v>
      </c>
      <c r="M429" s="6">
        <v>62847.27</v>
      </c>
      <c r="N429" s="6">
        <v>36251.730000000003</v>
      </c>
      <c r="O429" s="7">
        <v>36.58</v>
      </c>
      <c r="P429" s="5" t="s">
        <v>22</v>
      </c>
    </row>
    <row r="430" spans="1:16" x14ac:dyDescent="0.3">
      <c r="A430" s="2">
        <v>1010</v>
      </c>
      <c r="B430" s="2" t="s">
        <v>62</v>
      </c>
      <c r="C430" s="2" t="s">
        <v>63</v>
      </c>
      <c r="D430" s="2" t="s">
        <v>25</v>
      </c>
      <c r="E430" s="2" t="s">
        <v>26</v>
      </c>
      <c r="F430" s="2" t="s">
        <v>37</v>
      </c>
      <c r="G430" s="2" t="s">
        <v>67</v>
      </c>
      <c r="H430" s="2">
        <v>116</v>
      </c>
      <c r="I430" s="3">
        <v>1757</v>
      </c>
      <c r="J430" s="3">
        <v>203812</v>
      </c>
      <c r="K430" s="2">
        <v>20</v>
      </c>
      <c r="L430" s="3">
        <v>163049.60000000001</v>
      </c>
      <c r="M430" s="3">
        <v>105224.49</v>
      </c>
      <c r="N430" s="3">
        <v>57825.11</v>
      </c>
      <c r="O430" s="4">
        <v>35.46</v>
      </c>
      <c r="P430" s="2" t="s">
        <v>41</v>
      </c>
    </row>
    <row r="431" spans="1:16" x14ac:dyDescent="0.3">
      <c r="A431" s="5">
        <v>1274</v>
      </c>
      <c r="B431" s="5" t="s">
        <v>52</v>
      </c>
      <c r="C431" s="5" t="s">
        <v>53</v>
      </c>
      <c r="D431" s="5" t="s">
        <v>25</v>
      </c>
      <c r="E431" s="5" t="s">
        <v>42</v>
      </c>
      <c r="F431" s="5" t="s">
        <v>48</v>
      </c>
      <c r="G431" s="5" t="s">
        <v>51</v>
      </c>
      <c r="H431" s="5">
        <v>121</v>
      </c>
      <c r="I431" s="6">
        <v>2060</v>
      </c>
      <c r="J431" s="6">
        <v>249260</v>
      </c>
      <c r="K431" s="5">
        <v>0</v>
      </c>
      <c r="L431" s="6">
        <v>249260</v>
      </c>
      <c r="M431" s="6">
        <v>142237.71</v>
      </c>
      <c r="N431" s="6">
        <v>107022.29</v>
      </c>
      <c r="O431" s="7">
        <v>42.94</v>
      </c>
      <c r="P431" s="5" t="s">
        <v>50</v>
      </c>
    </row>
    <row r="432" spans="1:16" x14ac:dyDescent="0.3">
      <c r="A432" s="2">
        <v>1223</v>
      </c>
      <c r="B432" s="2" t="s">
        <v>52</v>
      </c>
      <c r="C432" s="2" t="s">
        <v>53</v>
      </c>
      <c r="D432" s="2" t="s">
        <v>25</v>
      </c>
      <c r="E432" s="2" t="s">
        <v>26</v>
      </c>
      <c r="F432" s="2" t="s">
        <v>48</v>
      </c>
      <c r="G432" s="2" t="s">
        <v>49</v>
      </c>
      <c r="H432" s="2">
        <v>98</v>
      </c>
      <c r="I432" s="3">
        <v>825</v>
      </c>
      <c r="J432" s="3">
        <v>80850</v>
      </c>
      <c r="K432" s="2">
        <v>5</v>
      </c>
      <c r="L432" s="3">
        <v>76807.5</v>
      </c>
      <c r="M432" s="3">
        <v>42577.7</v>
      </c>
      <c r="N432" s="3">
        <v>34229.800000000003</v>
      </c>
      <c r="O432" s="4">
        <v>44.57</v>
      </c>
      <c r="P432" s="2" t="s">
        <v>50</v>
      </c>
    </row>
    <row r="433" spans="1:16" x14ac:dyDescent="0.3">
      <c r="A433" s="5">
        <v>1637</v>
      </c>
      <c r="B433" s="5" t="s">
        <v>16</v>
      </c>
      <c r="C433" s="5" t="s">
        <v>17</v>
      </c>
      <c r="D433" s="5" t="s">
        <v>18</v>
      </c>
      <c r="E433" s="5" t="s">
        <v>19</v>
      </c>
      <c r="F433" s="5" t="s">
        <v>32</v>
      </c>
      <c r="G433" s="5" t="s">
        <v>75</v>
      </c>
      <c r="H433" s="5">
        <v>53</v>
      </c>
      <c r="I433" s="6">
        <v>12260</v>
      </c>
      <c r="J433" s="6">
        <v>649780</v>
      </c>
      <c r="K433" s="5">
        <v>5</v>
      </c>
      <c r="L433" s="6">
        <v>617291</v>
      </c>
      <c r="M433" s="6">
        <v>405505.29</v>
      </c>
      <c r="N433" s="6">
        <v>211785.71</v>
      </c>
      <c r="O433" s="7">
        <v>34.31</v>
      </c>
      <c r="P433" s="5" t="s">
        <v>50</v>
      </c>
    </row>
    <row r="434" spans="1:16" x14ac:dyDescent="0.3">
      <c r="A434" s="2">
        <v>1345</v>
      </c>
      <c r="B434" s="2" t="s">
        <v>57</v>
      </c>
      <c r="C434" s="2" t="s">
        <v>58</v>
      </c>
      <c r="D434" s="2" t="s">
        <v>56</v>
      </c>
      <c r="E434" s="2" t="s">
        <v>19</v>
      </c>
      <c r="F434" s="2" t="s">
        <v>20</v>
      </c>
      <c r="G434" s="2" t="s">
        <v>60</v>
      </c>
      <c r="H434" s="2">
        <v>40</v>
      </c>
      <c r="I434" s="3">
        <v>92</v>
      </c>
      <c r="J434" s="3">
        <v>3680</v>
      </c>
      <c r="K434" s="2">
        <v>15</v>
      </c>
      <c r="L434" s="3">
        <v>3128</v>
      </c>
      <c r="M434" s="3">
        <v>1789.74</v>
      </c>
      <c r="N434" s="3">
        <v>1338.26</v>
      </c>
      <c r="O434" s="4">
        <v>42.78</v>
      </c>
      <c r="P434" s="2" t="s">
        <v>45</v>
      </c>
    </row>
    <row r="435" spans="1:16" x14ac:dyDescent="0.3">
      <c r="A435" s="5">
        <v>1770</v>
      </c>
      <c r="B435" s="5" t="s">
        <v>30</v>
      </c>
      <c r="C435" s="5" t="s">
        <v>31</v>
      </c>
      <c r="D435" s="5" t="s">
        <v>18</v>
      </c>
      <c r="E435" s="5" t="s">
        <v>42</v>
      </c>
      <c r="F435" s="5" t="s">
        <v>20</v>
      </c>
      <c r="G435" s="5" t="s">
        <v>60</v>
      </c>
      <c r="H435" s="5">
        <v>100</v>
      </c>
      <c r="I435" s="6">
        <v>95</v>
      </c>
      <c r="J435" s="6">
        <v>9500</v>
      </c>
      <c r="K435" s="5">
        <v>15</v>
      </c>
      <c r="L435" s="6">
        <v>8075</v>
      </c>
      <c r="M435" s="6">
        <v>5010.1400000000003</v>
      </c>
      <c r="N435" s="6">
        <v>3064.86</v>
      </c>
      <c r="O435" s="7">
        <v>37.950000000000003</v>
      </c>
      <c r="P435" s="5" t="s">
        <v>39</v>
      </c>
    </row>
    <row r="436" spans="1:16" x14ac:dyDescent="0.3">
      <c r="A436" s="2">
        <v>1890</v>
      </c>
      <c r="B436" s="2" t="s">
        <v>70</v>
      </c>
      <c r="C436" s="2" t="s">
        <v>71</v>
      </c>
      <c r="D436" s="2" t="s">
        <v>18</v>
      </c>
      <c r="E436" s="2" t="s">
        <v>44</v>
      </c>
      <c r="F436" s="2" t="s">
        <v>32</v>
      </c>
      <c r="G436" s="2" t="s">
        <v>65</v>
      </c>
      <c r="H436" s="2">
        <v>58</v>
      </c>
      <c r="I436" s="3">
        <v>5331</v>
      </c>
      <c r="J436" s="3">
        <v>309198</v>
      </c>
      <c r="K436" s="2">
        <v>0</v>
      </c>
      <c r="L436" s="3">
        <v>309198</v>
      </c>
      <c r="M436" s="3">
        <v>173253.38</v>
      </c>
      <c r="N436" s="3">
        <v>135944.62</v>
      </c>
      <c r="O436" s="4">
        <v>43.97</v>
      </c>
      <c r="P436" s="2" t="s">
        <v>61</v>
      </c>
    </row>
    <row r="437" spans="1:16" x14ac:dyDescent="0.3">
      <c r="A437" s="5">
        <v>1587</v>
      </c>
      <c r="B437" s="5" t="s">
        <v>73</v>
      </c>
      <c r="C437" s="5" t="s">
        <v>74</v>
      </c>
      <c r="D437" s="5" t="s">
        <v>56</v>
      </c>
      <c r="E437" s="5" t="s">
        <v>44</v>
      </c>
      <c r="F437" s="5" t="s">
        <v>32</v>
      </c>
      <c r="G437" s="5" t="s">
        <v>75</v>
      </c>
      <c r="H437" s="5">
        <v>53</v>
      </c>
      <c r="I437" s="6">
        <v>12213</v>
      </c>
      <c r="J437" s="6">
        <v>647289</v>
      </c>
      <c r="K437" s="5">
        <v>0</v>
      </c>
      <c r="L437" s="6">
        <v>647289</v>
      </c>
      <c r="M437" s="6">
        <v>392747.53</v>
      </c>
      <c r="N437" s="6">
        <v>254541.47</v>
      </c>
      <c r="O437" s="7">
        <v>39.32</v>
      </c>
      <c r="P437" s="5" t="s">
        <v>50</v>
      </c>
    </row>
    <row r="438" spans="1:16" x14ac:dyDescent="0.3">
      <c r="A438" s="2">
        <v>2174</v>
      </c>
      <c r="B438" s="2" t="s">
        <v>46</v>
      </c>
      <c r="C438" s="2" t="s">
        <v>47</v>
      </c>
      <c r="D438" s="2" t="s">
        <v>36</v>
      </c>
      <c r="E438" s="2" t="s">
        <v>42</v>
      </c>
      <c r="F438" s="2" t="s">
        <v>48</v>
      </c>
      <c r="G438" s="2" t="s">
        <v>51</v>
      </c>
      <c r="H438" s="2">
        <v>65</v>
      </c>
      <c r="I438" s="3">
        <v>2091</v>
      </c>
      <c r="J438" s="3">
        <v>135915</v>
      </c>
      <c r="K438" s="2">
        <v>15</v>
      </c>
      <c r="L438" s="3">
        <v>115527.75</v>
      </c>
      <c r="M438" s="3">
        <v>76166.39</v>
      </c>
      <c r="N438" s="3">
        <v>39361.360000000001</v>
      </c>
      <c r="O438" s="4">
        <v>34.07</v>
      </c>
      <c r="P438" s="2" t="s">
        <v>22</v>
      </c>
    </row>
    <row r="439" spans="1:16" x14ac:dyDescent="0.3">
      <c r="A439" s="5">
        <v>1563</v>
      </c>
      <c r="B439" s="5" t="s">
        <v>73</v>
      </c>
      <c r="C439" s="5" t="s">
        <v>74</v>
      </c>
      <c r="D439" s="5" t="s">
        <v>56</v>
      </c>
      <c r="E439" s="5" t="s">
        <v>42</v>
      </c>
      <c r="F439" s="5" t="s">
        <v>32</v>
      </c>
      <c r="G439" s="5" t="s">
        <v>81</v>
      </c>
      <c r="H439" s="5">
        <v>110</v>
      </c>
      <c r="I439" s="6">
        <v>13325</v>
      </c>
      <c r="J439" s="6">
        <v>1465750</v>
      </c>
      <c r="K439" s="5">
        <v>0</v>
      </c>
      <c r="L439" s="6">
        <v>1465750</v>
      </c>
      <c r="M439" s="6">
        <v>810955.54</v>
      </c>
      <c r="N439" s="6">
        <v>654794.46</v>
      </c>
      <c r="O439" s="7">
        <v>44.67</v>
      </c>
      <c r="P439" s="5" t="s">
        <v>29</v>
      </c>
    </row>
    <row r="440" spans="1:16" x14ac:dyDescent="0.3">
      <c r="A440" s="2">
        <v>1586</v>
      </c>
      <c r="B440" s="2" t="s">
        <v>73</v>
      </c>
      <c r="C440" s="2" t="s">
        <v>74</v>
      </c>
      <c r="D440" s="2" t="s">
        <v>56</v>
      </c>
      <c r="E440" s="2" t="s">
        <v>44</v>
      </c>
      <c r="F440" s="2" t="s">
        <v>32</v>
      </c>
      <c r="G440" s="2" t="s">
        <v>40</v>
      </c>
      <c r="H440" s="2">
        <v>135</v>
      </c>
      <c r="I440" s="3">
        <v>19658</v>
      </c>
      <c r="J440" s="3">
        <v>2653830</v>
      </c>
      <c r="K440" s="2">
        <v>10</v>
      </c>
      <c r="L440" s="3">
        <v>2388447</v>
      </c>
      <c r="M440" s="3">
        <v>1376056.93</v>
      </c>
      <c r="N440" s="3">
        <v>1012390.07</v>
      </c>
      <c r="O440" s="4">
        <v>42.39</v>
      </c>
      <c r="P440" s="2" t="s">
        <v>41</v>
      </c>
    </row>
    <row r="441" spans="1:16" x14ac:dyDescent="0.3">
      <c r="A441" s="5">
        <v>2025</v>
      </c>
      <c r="B441" s="5" t="s">
        <v>76</v>
      </c>
      <c r="C441" s="5" t="s">
        <v>77</v>
      </c>
      <c r="D441" s="5" t="s">
        <v>36</v>
      </c>
      <c r="E441" s="5" t="s">
        <v>26</v>
      </c>
      <c r="F441" s="5" t="s">
        <v>48</v>
      </c>
      <c r="G441" s="5" t="s">
        <v>72</v>
      </c>
      <c r="H441" s="5">
        <v>123</v>
      </c>
      <c r="I441" s="6">
        <v>3270</v>
      </c>
      <c r="J441" s="6">
        <v>402210</v>
      </c>
      <c r="K441" s="5">
        <v>10</v>
      </c>
      <c r="L441" s="6">
        <v>361989</v>
      </c>
      <c r="M441" s="6">
        <v>231914.06</v>
      </c>
      <c r="N441" s="6">
        <v>130074.94</v>
      </c>
      <c r="O441" s="7">
        <v>35.93</v>
      </c>
      <c r="P441" s="5" t="s">
        <v>61</v>
      </c>
    </row>
    <row r="442" spans="1:16" x14ac:dyDescent="0.3">
      <c r="A442" s="2">
        <v>1415</v>
      </c>
      <c r="B442" s="2" t="s">
        <v>54</v>
      </c>
      <c r="C442" s="2" t="s">
        <v>55</v>
      </c>
      <c r="D442" s="2" t="s">
        <v>56</v>
      </c>
      <c r="E442" s="2" t="s">
        <v>26</v>
      </c>
      <c r="F442" s="2" t="s">
        <v>32</v>
      </c>
      <c r="G442" s="2" t="s">
        <v>65</v>
      </c>
      <c r="H442" s="2">
        <v>72</v>
      </c>
      <c r="I442" s="3">
        <v>4880</v>
      </c>
      <c r="J442" s="3">
        <v>351360</v>
      </c>
      <c r="K442" s="2">
        <v>5</v>
      </c>
      <c r="L442" s="3">
        <v>333792</v>
      </c>
      <c r="M442" s="3">
        <v>208585.03</v>
      </c>
      <c r="N442" s="3">
        <v>125206.97</v>
      </c>
      <c r="O442" s="4">
        <v>37.51</v>
      </c>
      <c r="P442" s="2" t="s">
        <v>41</v>
      </c>
    </row>
    <row r="443" spans="1:16" x14ac:dyDescent="0.3">
      <c r="A443" s="5">
        <v>1626</v>
      </c>
      <c r="B443" s="5" t="s">
        <v>16</v>
      </c>
      <c r="C443" s="5" t="s">
        <v>17</v>
      </c>
      <c r="D443" s="5" t="s">
        <v>18</v>
      </c>
      <c r="E443" s="5" t="s">
        <v>19</v>
      </c>
      <c r="F443" s="5" t="s">
        <v>27</v>
      </c>
      <c r="G443" s="5" t="s">
        <v>85</v>
      </c>
      <c r="H443" s="5">
        <v>48</v>
      </c>
      <c r="I443" s="6">
        <v>11307</v>
      </c>
      <c r="J443" s="6">
        <v>542736</v>
      </c>
      <c r="K443" s="5">
        <v>15</v>
      </c>
      <c r="L443" s="6">
        <v>461325.6</v>
      </c>
      <c r="M443" s="6">
        <v>305001.59999999998</v>
      </c>
      <c r="N443" s="6">
        <v>156324</v>
      </c>
      <c r="O443" s="7">
        <v>33.89</v>
      </c>
      <c r="P443" s="5" t="s">
        <v>41</v>
      </c>
    </row>
    <row r="444" spans="1:16" x14ac:dyDescent="0.3">
      <c r="A444" s="2">
        <v>1750</v>
      </c>
      <c r="B444" s="2" t="s">
        <v>30</v>
      </c>
      <c r="C444" s="2" t="s">
        <v>31</v>
      </c>
      <c r="D444" s="2" t="s">
        <v>18</v>
      </c>
      <c r="E444" s="2" t="s">
        <v>19</v>
      </c>
      <c r="F444" s="2" t="s">
        <v>48</v>
      </c>
      <c r="G444" s="2" t="s">
        <v>72</v>
      </c>
      <c r="H444" s="2">
        <v>93</v>
      </c>
      <c r="I444" s="3">
        <v>3813</v>
      </c>
      <c r="J444" s="3">
        <v>354609</v>
      </c>
      <c r="K444" s="2">
        <v>5</v>
      </c>
      <c r="L444" s="3">
        <v>336878.55</v>
      </c>
      <c r="M444" s="3">
        <v>195897.55</v>
      </c>
      <c r="N444" s="3">
        <v>140981</v>
      </c>
      <c r="O444" s="4">
        <v>41.85</v>
      </c>
      <c r="P444" s="2" t="s">
        <v>41</v>
      </c>
    </row>
    <row r="445" spans="1:16" x14ac:dyDescent="0.3">
      <c r="A445" s="5">
        <v>1798</v>
      </c>
      <c r="B445" s="5" t="s">
        <v>30</v>
      </c>
      <c r="C445" s="5" t="s">
        <v>31</v>
      </c>
      <c r="D445" s="5" t="s">
        <v>18</v>
      </c>
      <c r="E445" s="5" t="s">
        <v>44</v>
      </c>
      <c r="F445" s="5" t="s">
        <v>48</v>
      </c>
      <c r="G445" s="5" t="s">
        <v>49</v>
      </c>
      <c r="H445" s="5">
        <v>100</v>
      </c>
      <c r="I445" s="6">
        <v>809</v>
      </c>
      <c r="J445" s="6">
        <v>80900</v>
      </c>
      <c r="K445" s="5">
        <v>0</v>
      </c>
      <c r="L445" s="6">
        <v>80900</v>
      </c>
      <c r="M445" s="6">
        <v>48987.53</v>
      </c>
      <c r="N445" s="6">
        <v>31912.47</v>
      </c>
      <c r="O445" s="7">
        <v>39.450000000000003</v>
      </c>
      <c r="P445" s="5" t="s">
        <v>39</v>
      </c>
    </row>
    <row r="446" spans="1:16" x14ac:dyDescent="0.3">
      <c r="A446" s="2">
        <v>2080</v>
      </c>
      <c r="B446" s="2" t="s">
        <v>76</v>
      </c>
      <c r="C446" s="2" t="s">
        <v>77</v>
      </c>
      <c r="D446" s="2" t="s">
        <v>36</v>
      </c>
      <c r="E446" s="2" t="s">
        <v>44</v>
      </c>
      <c r="F446" s="2" t="s">
        <v>27</v>
      </c>
      <c r="G446" s="2" t="s">
        <v>84</v>
      </c>
      <c r="H446" s="2">
        <v>74</v>
      </c>
      <c r="I446" s="3">
        <v>15938</v>
      </c>
      <c r="J446" s="3">
        <v>1179412</v>
      </c>
      <c r="K446" s="2">
        <v>0</v>
      </c>
      <c r="L446" s="3">
        <v>1179412</v>
      </c>
      <c r="M446" s="3">
        <v>726619.49</v>
      </c>
      <c r="N446" s="3">
        <v>452792.51</v>
      </c>
      <c r="O446" s="4">
        <v>38.39</v>
      </c>
      <c r="P446" s="2" t="s">
        <v>39</v>
      </c>
    </row>
    <row r="447" spans="1:16" x14ac:dyDescent="0.3">
      <c r="A447" s="5">
        <v>1320</v>
      </c>
      <c r="B447" s="5" t="s">
        <v>57</v>
      </c>
      <c r="C447" s="5" t="s">
        <v>58</v>
      </c>
      <c r="D447" s="5" t="s">
        <v>56</v>
      </c>
      <c r="E447" s="5" t="s">
        <v>26</v>
      </c>
      <c r="F447" s="5" t="s">
        <v>20</v>
      </c>
      <c r="G447" s="5" t="s">
        <v>60</v>
      </c>
      <c r="H447" s="5">
        <v>140</v>
      </c>
      <c r="I447" s="6">
        <v>82</v>
      </c>
      <c r="J447" s="6">
        <v>11480</v>
      </c>
      <c r="K447" s="5">
        <v>0</v>
      </c>
      <c r="L447" s="6">
        <v>11480</v>
      </c>
      <c r="M447" s="6">
        <v>7947.4</v>
      </c>
      <c r="N447" s="6">
        <v>3532.6</v>
      </c>
      <c r="O447" s="7">
        <v>30.77</v>
      </c>
      <c r="P447" s="5" t="s">
        <v>50</v>
      </c>
    </row>
    <row r="448" spans="1:16" x14ac:dyDescent="0.3">
      <c r="A448" s="2">
        <v>1231</v>
      </c>
      <c r="B448" s="2" t="s">
        <v>52</v>
      </c>
      <c r="C448" s="2" t="s">
        <v>53</v>
      </c>
      <c r="D448" s="2" t="s">
        <v>25</v>
      </c>
      <c r="E448" s="2" t="s">
        <v>19</v>
      </c>
      <c r="F448" s="2" t="s">
        <v>37</v>
      </c>
      <c r="G448" s="2" t="s">
        <v>59</v>
      </c>
      <c r="H448" s="2">
        <v>75</v>
      </c>
      <c r="I448" s="3">
        <v>481</v>
      </c>
      <c r="J448" s="3">
        <v>36075</v>
      </c>
      <c r="K448" s="2">
        <v>5</v>
      </c>
      <c r="L448" s="3">
        <v>34271.25</v>
      </c>
      <c r="M448" s="3">
        <v>20881.11</v>
      </c>
      <c r="N448" s="3">
        <v>13390.14</v>
      </c>
      <c r="O448" s="4">
        <v>39.07</v>
      </c>
      <c r="P448" s="2" t="s">
        <v>43</v>
      </c>
    </row>
    <row r="449" spans="1:16" x14ac:dyDescent="0.3">
      <c r="A449" s="5">
        <v>1344</v>
      </c>
      <c r="B449" s="5" t="s">
        <v>57</v>
      </c>
      <c r="C449" s="5" t="s">
        <v>58</v>
      </c>
      <c r="D449" s="5" t="s">
        <v>56</v>
      </c>
      <c r="E449" s="5" t="s">
        <v>19</v>
      </c>
      <c r="F449" s="5" t="s">
        <v>20</v>
      </c>
      <c r="G449" s="5" t="s">
        <v>68</v>
      </c>
      <c r="H449" s="5">
        <v>138</v>
      </c>
      <c r="I449" s="6">
        <v>158</v>
      </c>
      <c r="J449" s="6">
        <v>21804</v>
      </c>
      <c r="K449" s="5">
        <v>5</v>
      </c>
      <c r="L449" s="6">
        <v>20713.8</v>
      </c>
      <c r="M449" s="6">
        <v>13634.03</v>
      </c>
      <c r="N449" s="6">
        <v>7079.77</v>
      </c>
      <c r="O449" s="7">
        <v>34.18</v>
      </c>
      <c r="P449" s="5" t="s">
        <v>39</v>
      </c>
    </row>
    <row r="450" spans="1:16" x14ac:dyDescent="0.3">
      <c r="A450" s="2">
        <v>1388</v>
      </c>
      <c r="B450" s="2" t="s">
        <v>57</v>
      </c>
      <c r="C450" s="2" t="s">
        <v>58</v>
      </c>
      <c r="D450" s="2" t="s">
        <v>56</v>
      </c>
      <c r="E450" s="2" t="s">
        <v>44</v>
      </c>
      <c r="F450" s="2" t="s">
        <v>32</v>
      </c>
      <c r="G450" s="2" t="s">
        <v>81</v>
      </c>
      <c r="H450" s="2">
        <v>78</v>
      </c>
      <c r="I450" s="3">
        <v>15168</v>
      </c>
      <c r="J450" s="3">
        <v>1183104</v>
      </c>
      <c r="K450" s="2">
        <v>15</v>
      </c>
      <c r="L450" s="3">
        <v>1005638.4</v>
      </c>
      <c r="M450" s="3">
        <v>609765.66</v>
      </c>
      <c r="N450" s="3">
        <v>395872.74</v>
      </c>
      <c r="O450" s="4">
        <v>39.369999999999997</v>
      </c>
      <c r="P450" s="2" t="s">
        <v>61</v>
      </c>
    </row>
    <row r="451" spans="1:16" x14ac:dyDescent="0.3">
      <c r="A451" s="5">
        <v>1233</v>
      </c>
      <c r="B451" s="5" t="s">
        <v>52</v>
      </c>
      <c r="C451" s="5" t="s">
        <v>53</v>
      </c>
      <c r="D451" s="5" t="s">
        <v>25</v>
      </c>
      <c r="E451" s="5" t="s">
        <v>19</v>
      </c>
      <c r="F451" s="5" t="s">
        <v>37</v>
      </c>
      <c r="G451" s="5" t="s">
        <v>38</v>
      </c>
      <c r="H451" s="5">
        <v>49</v>
      </c>
      <c r="I451" s="6">
        <v>1848</v>
      </c>
      <c r="J451" s="6">
        <v>90552</v>
      </c>
      <c r="K451" s="5">
        <v>20</v>
      </c>
      <c r="L451" s="6">
        <v>72441.600000000006</v>
      </c>
      <c r="M451" s="6">
        <v>47960.11</v>
      </c>
      <c r="N451" s="6">
        <v>24481.49</v>
      </c>
      <c r="O451" s="7">
        <v>33.79</v>
      </c>
      <c r="P451" s="5" t="s">
        <v>61</v>
      </c>
    </row>
    <row r="452" spans="1:16" x14ac:dyDescent="0.3">
      <c r="A452" s="2">
        <v>1371</v>
      </c>
      <c r="B452" s="2" t="s">
        <v>57</v>
      </c>
      <c r="C452" s="2" t="s">
        <v>58</v>
      </c>
      <c r="D452" s="2" t="s">
        <v>56</v>
      </c>
      <c r="E452" s="2" t="s">
        <v>42</v>
      </c>
      <c r="F452" s="2" t="s">
        <v>48</v>
      </c>
      <c r="G452" s="2" t="s">
        <v>69</v>
      </c>
      <c r="H452" s="2">
        <v>46</v>
      </c>
      <c r="I452" s="3">
        <v>1114</v>
      </c>
      <c r="J452" s="3">
        <v>51244</v>
      </c>
      <c r="K452" s="2">
        <v>10</v>
      </c>
      <c r="L452" s="3">
        <v>46119.6</v>
      </c>
      <c r="M452" s="3">
        <v>31839.759999999998</v>
      </c>
      <c r="N452" s="3">
        <v>14279.84</v>
      </c>
      <c r="O452" s="4">
        <v>30.96</v>
      </c>
      <c r="P452" s="2" t="s">
        <v>43</v>
      </c>
    </row>
    <row r="453" spans="1:16" x14ac:dyDescent="0.3">
      <c r="A453" s="5">
        <v>1301</v>
      </c>
      <c r="B453" s="5" t="s">
        <v>57</v>
      </c>
      <c r="C453" s="5" t="s">
        <v>58</v>
      </c>
      <c r="D453" s="5" t="s">
        <v>56</v>
      </c>
      <c r="E453" s="5" t="s">
        <v>26</v>
      </c>
      <c r="F453" s="5" t="s">
        <v>27</v>
      </c>
      <c r="G453" s="5" t="s">
        <v>85</v>
      </c>
      <c r="H453" s="5">
        <v>133</v>
      </c>
      <c r="I453" s="6">
        <v>11679</v>
      </c>
      <c r="J453" s="6">
        <v>1553307</v>
      </c>
      <c r="K453" s="5">
        <v>15</v>
      </c>
      <c r="L453" s="6">
        <v>1320310.95</v>
      </c>
      <c r="M453" s="6">
        <v>914209.8</v>
      </c>
      <c r="N453" s="6">
        <v>406101.15</v>
      </c>
      <c r="O453" s="7">
        <v>30.76</v>
      </c>
      <c r="P453" s="5" t="s">
        <v>43</v>
      </c>
    </row>
    <row r="454" spans="1:16" x14ac:dyDescent="0.3">
      <c r="A454" s="2">
        <v>1161</v>
      </c>
      <c r="B454" s="2" t="s">
        <v>23</v>
      </c>
      <c r="C454" s="2" t="s">
        <v>24</v>
      </c>
      <c r="D454" s="2" t="s">
        <v>25</v>
      </c>
      <c r="E454" s="2" t="s">
        <v>42</v>
      </c>
      <c r="F454" s="2" t="s">
        <v>32</v>
      </c>
      <c r="G454" s="2" t="s">
        <v>40</v>
      </c>
      <c r="H454" s="2">
        <v>70</v>
      </c>
      <c r="I454" s="3">
        <v>17358</v>
      </c>
      <c r="J454" s="3">
        <v>1215060</v>
      </c>
      <c r="K454" s="2">
        <v>5</v>
      </c>
      <c r="L454" s="3">
        <v>1154307</v>
      </c>
      <c r="M454" s="3">
        <v>804686.1</v>
      </c>
      <c r="N454" s="3">
        <v>349620.9</v>
      </c>
      <c r="O454" s="4">
        <v>30.29</v>
      </c>
      <c r="P454" s="2" t="s">
        <v>45</v>
      </c>
    </row>
    <row r="455" spans="1:16" x14ac:dyDescent="0.3">
      <c r="A455" s="5">
        <v>1654</v>
      </c>
      <c r="B455" s="5" t="s">
        <v>16</v>
      </c>
      <c r="C455" s="5" t="s">
        <v>17</v>
      </c>
      <c r="D455" s="5" t="s">
        <v>18</v>
      </c>
      <c r="E455" s="5" t="s">
        <v>42</v>
      </c>
      <c r="F455" s="5" t="s">
        <v>27</v>
      </c>
      <c r="G455" s="5" t="s">
        <v>66</v>
      </c>
      <c r="H455" s="5">
        <v>77</v>
      </c>
      <c r="I455" s="6">
        <v>878</v>
      </c>
      <c r="J455" s="6">
        <v>67606</v>
      </c>
      <c r="K455" s="5">
        <v>20</v>
      </c>
      <c r="L455" s="6">
        <v>54084.800000000003</v>
      </c>
      <c r="M455" s="6">
        <v>30908.58</v>
      </c>
      <c r="N455" s="6">
        <v>23176.22</v>
      </c>
      <c r="O455" s="7">
        <v>42.85</v>
      </c>
      <c r="P455" s="5" t="s">
        <v>61</v>
      </c>
    </row>
    <row r="456" spans="1:16" x14ac:dyDescent="0.3">
      <c r="A456" s="2">
        <v>1855</v>
      </c>
      <c r="B456" s="2" t="s">
        <v>70</v>
      </c>
      <c r="C456" s="2" t="s">
        <v>71</v>
      </c>
      <c r="D456" s="2" t="s">
        <v>18</v>
      </c>
      <c r="E456" s="2" t="s">
        <v>42</v>
      </c>
      <c r="F456" s="2" t="s">
        <v>27</v>
      </c>
      <c r="G456" s="2" t="s">
        <v>84</v>
      </c>
      <c r="H456" s="2">
        <v>161</v>
      </c>
      <c r="I456" s="3">
        <v>15122</v>
      </c>
      <c r="J456" s="3">
        <v>2434642</v>
      </c>
      <c r="K456" s="2">
        <v>5</v>
      </c>
      <c r="L456" s="3">
        <v>2312909.9</v>
      </c>
      <c r="M456" s="3">
        <v>1462410.81</v>
      </c>
      <c r="N456" s="3">
        <v>850499.09</v>
      </c>
      <c r="O456" s="4">
        <v>36.770000000000003</v>
      </c>
      <c r="P456" s="2" t="s">
        <v>61</v>
      </c>
    </row>
    <row r="457" spans="1:16" x14ac:dyDescent="0.3">
      <c r="A457" s="5">
        <v>1449</v>
      </c>
      <c r="B457" s="5" t="s">
        <v>54</v>
      </c>
      <c r="C457" s="5" t="s">
        <v>55</v>
      </c>
      <c r="D457" s="5" t="s">
        <v>56</v>
      </c>
      <c r="E457" s="5" t="s">
        <v>19</v>
      </c>
      <c r="F457" s="5" t="s">
        <v>48</v>
      </c>
      <c r="G457" s="5" t="s">
        <v>51</v>
      </c>
      <c r="H457" s="5">
        <v>142</v>
      </c>
      <c r="I457" s="6">
        <v>1933</v>
      </c>
      <c r="J457" s="6">
        <v>274486</v>
      </c>
      <c r="K457" s="5">
        <v>15</v>
      </c>
      <c r="L457" s="6">
        <v>233313.1</v>
      </c>
      <c r="M457" s="6">
        <v>156462.44</v>
      </c>
      <c r="N457" s="6">
        <v>76850.66</v>
      </c>
      <c r="O457" s="7">
        <v>32.94</v>
      </c>
      <c r="P457" s="5" t="s">
        <v>41</v>
      </c>
    </row>
    <row r="458" spans="1:16" x14ac:dyDescent="0.3">
      <c r="A458" s="2">
        <v>1555</v>
      </c>
      <c r="B458" s="2" t="s">
        <v>73</v>
      </c>
      <c r="C458" s="2" t="s">
        <v>74</v>
      </c>
      <c r="D458" s="2" t="s">
        <v>56</v>
      </c>
      <c r="E458" s="2" t="s">
        <v>42</v>
      </c>
      <c r="F458" s="2" t="s">
        <v>27</v>
      </c>
      <c r="G458" s="2" t="s">
        <v>84</v>
      </c>
      <c r="H458" s="2">
        <v>90</v>
      </c>
      <c r="I458" s="3">
        <v>14442</v>
      </c>
      <c r="J458" s="3">
        <v>1299780</v>
      </c>
      <c r="K458" s="2">
        <v>0</v>
      </c>
      <c r="L458" s="3">
        <v>1299780</v>
      </c>
      <c r="M458" s="3">
        <v>819366.6</v>
      </c>
      <c r="N458" s="3">
        <v>480413.4</v>
      </c>
      <c r="O458" s="4">
        <v>36.96</v>
      </c>
      <c r="P458" s="2" t="s">
        <v>45</v>
      </c>
    </row>
    <row r="459" spans="1:16" x14ac:dyDescent="0.3">
      <c r="A459" s="5">
        <v>1971</v>
      </c>
      <c r="B459" s="5" t="s">
        <v>34</v>
      </c>
      <c r="C459" s="5" t="s">
        <v>35</v>
      </c>
      <c r="D459" s="5" t="s">
        <v>36</v>
      </c>
      <c r="E459" s="5" t="s">
        <v>42</v>
      </c>
      <c r="F459" s="5" t="s">
        <v>48</v>
      </c>
      <c r="G459" s="5" t="s">
        <v>69</v>
      </c>
      <c r="H459" s="5">
        <v>40</v>
      </c>
      <c r="I459" s="6">
        <v>1249</v>
      </c>
      <c r="J459" s="6">
        <v>49960</v>
      </c>
      <c r="K459" s="5">
        <v>10</v>
      </c>
      <c r="L459" s="6">
        <v>44964</v>
      </c>
      <c r="M459" s="6">
        <v>25305.56</v>
      </c>
      <c r="N459" s="6">
        <v>19658.439999999999</v>
      </c>
      <c r="O459" s="7">
        <v>43.72</v>
      </c>
      <c r="P459" s="5" t="s">
        <v>22</v>
      </c>
    </row>
    <row r="460" spans="1:16" x14ac:dyDescent="0.3">
      <c r="A460" s="2">
        <v>1496</v>
      </c>
      <c r="B460" s="2" t="s">
        <v>54</v>
      </c>
      <c r="C460" s="2" t="s">
        <v>55</v>
      </c>
      <c r="D460" s="2" t="s">
        <v>56</v>
      </c>
      <c r="E460" s="2" t="s">
        <v>44</v>
      </c>
      <c r="F460" s="2" t="s">
        <v>48</v>
      </c>
      <c r="G460" s="2" t="s">
        <v>69</v>
      </c>
      <c r="H460" s="2">
        <v>87</v>
      </c>
      <c r="I460" s="3">
        <v>1219</v>
      </c>
      <c r="J460" s="3">
        <v>106053</v>
      </c>
      <c r="K460" s="2">
        <v>5</v>
      </c>
      <c r="L460" s="3">
        <v>100750.35</v>
      </c>
      <c r="M460" s="3">
        <v>64900.55</v>
      </c>
      <c r="N460" s="3">
        <v>35849.800000000003</v>
      </c>
      <c r="O460" s="4">
        <v>35.58</v>
      </c>
      <c r="P460" s="2" t="s">
        <v>22</v>
      </c>
    </row>
    <row r="461" spans="1:16" x14ac:dyDescent="0.3">
      <c r="A461" s="5">
        <v>1202</v>
      </c>
      <c r="B461" s="5" t="s">
        <v>52</v>
      </c>
      <c r="C461" s="5" t="s">
        <v>53</v>
      </c>
      <c r="D461" s="5" t="s">
        <v>25</v>
      </c>
      <c r="E461" s="5" t="s">
        <v>26</v>
      </c>
      <c r="F461" s="5" t="s">
        <v>27</v>
      </c>
      <c r="G461" s="5" t="s">
        <v>28</v>
      </c>
      <c r="H461" s="5">
        <v>95</v>
      </c>
      <c r="I461" s="6">
        <v>8501</v>
      </c>
      <c r="J461" s="6">
        <v>807595</v>
      </c>
      <c r="K461" s="5">
        <v>5</v>
      </c>
      <c r="L461" s="6">
        <v>767215.25</v>
      </c>
      <c r="M461" s="6">
        <v>459779.77</v>
      </c>
      <c r="N461" s="6">
        <v>307435.48</v>
      </c>
      <c r="O461" s="7">
        <v>40.07</v>
      </c>
      <c r="P461" s="5" t="s">
        <v>61</v>
      </c>
    </row>
    <row r="462" spans="1:16" x14ac:dyDescent="0.3">
      <c r="A462" s="2">
        <v>1432</v>
      </c>
      <c r="B462" s="2" t="s">
        <v>54</v>
      </c>
      <c r="C462" s="2" t="s">
        <v>55</v>
      </c>
      <c r="D462" s="2" t="s">
        <v>56</v>
      </c>
      <c r="E462" s="2" t="s">
        <v>19</v>
      </c>
      <c r="F462" s="2" t="s">
        <v>37</v>
      </c>
      <c r="G462" s="2" t="s">
        <v>79</v>
      </c>
      <c r="H462" s="2">
        <v>117</v>
      </c>
      <c r="I462" s="3">
        <v>1251</v>
      </c>
      <c r="J462" s="3">
        <v>146367</v>
      </c>
      <c r="K462" s="2">
        <v>15</v>
      </c>
      <c r="L462" s="3">
        <v>124411.95</v>
      </c>
      <c r="M462" s="3">
        <v>85761.04</v>
      </c>
      <c r="N462" s="3">
        <v>38650.910000000003</v>
      </c>
      <c r="O462" s="4">
        <v>31.07</v>
      </c>
      <c r="P462" s="2" t="s">
        <v>50</v>
      </c>
    </row>
    <row r="463" spans="1:16" x14ac:dyDescent="0.3">
      <c r="A463" s="5">
        <v>1094</v>
      </c>
      <c r="B463" s="5" t="s">
        <v>62</v>
      </c>
      <c r="C463" s="5" t="s">
        <v>63</v>
      </c>
      <c r="D463" s="5" t="s">
        <v>25</v>
      </c>
      <c r="E463" s="5" t="s">
        <v>44</v>
      </c>
      <c r="F463" s="5" t="s">
        <v>20</v>
      </c>
      <c r="G463" s="5" t="s">
        <v>68</v>
      </c>
      <c r="H463" s="5">
        <v>59</v>
      </c>
      <c r="I463" s="6">
        <v>141</v>
      </c>
      <c r="J463" s="6">
        <v>8319</v>
      </c>
      <c r="K463" s="5">
        <v>15</v>
      </c>
      <c r="L463" s="6">
        <v>7071.15</v>
      </c>
      <c r="M463" s="6">
        <v>4302.24</v>
      </c>
      <c r="N463" s="6">
        <v>2768.91</v>
      </c>
      <c r="O463" s="7">
        <v>39.159999999999997</v>
      </c>
      <c r="P463" s="5" t="s">
        <v>43</v>
      </c>
    </row>
    <row r="464" spans="1:16" x14ac:dyDescent="0.3">
      <c r="A464" s="2">
        <v>1776</v>
      </c>
      <c r="B464" s="2" t="s">
        <v>30</v>
      </c>
      <c r="C464" s="2" t="s">
        <v>31</v>
      </c>
      <c r="D464" s="2" t="s">
        <v>18</v>
      </c>
      <c r="E464" s="2" t="s">
        <v>44</v>
      </c>
      <c r="F464" s="2" t="s">
        <v>27</v>
      </c>
      <c r="G464" s="2" t="s">
        <v>85</v>
      </c>
      <c r="H464" s="2">
        <v>84</v>
      </c>
      <c r="I464" s="3">
        <v>11352</v>
      </c>
      <c r="J464" s="3">
        <v>953568</v>
      </c>
      <c r="K464" s="2">
        <v>5</v>
      </c>
      <c r="L464" s="3">
        <v>905889.6</v>
      </c>
      <c r="M464" s="3">
        <v>526980.94999999995</v>
      </c>
      <c r="N464" s="3">
        <v>378908.65</v>
      </c>
      <c r="O464" s="4">
        <v>41.83</v>
      </c>
      <c r="P464" s="2" t="s">
        <v>61</v>
      </c>
    </row>
    <row r="465" spans="1:16" x14ac:dyDescent="0.3">
      <c r="A465" s="5">
        <v>1557</v>
      </c>
      <c r="B465" s="5" t="s">
        <v>73</v>
      </c>
      <c r="C465" s="5" t="s">
        <v>74</v>
      </c>
      <c r="D465" s="5" t="s">
        <v>56</v>
      </c>
      <c r="E465" s="5" t="s">
        <v>42</v>
      </c>
      <c r="F465" s="5" t="s">
        <v>37</v>
      </c>
      <c r="G465" s="5" t="s">
        <v>79</v>
      </c>
      <c r="H465" s="5">
        <v>147</v>
      </c>
      <c r="I465" s="6">
        <v>1247</v>
      </c>
      <c r="J465" s="6">
        <v>183309</v>
      </c>
      <c r="K465" s="5">
        <v>0</v>
      </c>
      <c r="L465" s="6">
        <v>183309</v>
      </c>
      <c r="M465" s="6">
        <v>106732.24</v>
      </c>
      <c r="N465" s="6">
        <v>76576.759999999995</v>
      </c>
      <c r="O465" s="7">
        <v>41.77</v>
      </c>
      <c r="P465" s="5" t="s">
        <v>41</v>
      </c>
    </row>
    <row r="466" spans="1:16" x14ac:dyDescent="0.3">
      <c r="A466" s="2">
        <v>1237</v>
      </c>
      <c r="B466" s="2" t="s">
        <v>52</v>
      </c>
      <c r="C466" s="2" t="s">
        <v>53</v>
      </c>
      <c r="D466" s="2" t="s">
        <v>25</v>
      </c>
      <c r="E466" s="2" t="s">
        <v>19</v>
      </c>
      <c r="F466" s="2" t="s">
        <v>32</v>
      </c>
      <c r="G466" s="2" t="s">
        <v>75</v>
      </c>
      <c r="H466" s="2">
        <v>49</v>
      </c>
      <c r="I466" s="3">
        <v>11772</v>
      </c>
      <c r="J466" s="3">
        <v>576828</v>
      </c>
      <c r="K466" s="2">
        <v>10</v>
      </c>
      <c r="L466" s="3">
        <v>519145.2</v>
      </c>
      <c r="M466" s="3">
        <v>298913.93</v>
      </c>
      <c r="N466" s="3">
        <v>220231.27</v>
      </c>
      <c r="O466" s="4">
        <v>42.42</v>
      </c>
      <c r="P466" s="2" t="s">
        <v>39</v>
      </c>
    </row>
    <row r="467" spans="1:16" x14ac:dyDescent="0.3">
      <c r="A467" s="5">
        <v>2183</v>
      </c>
      <c r="B467" s="5" t="s">
        <v>46</v>
      </c>
      <c r="C467" s="5" t="s">
        <v>47</v>
      </c>
      <c r="D467" s="5" t="s">
        <v>36</v>
      </c>
      <c r="E467" s="5" t="s">
        <v>44</v>
      </c>
      <c r="F467" s="5" t="s">
        <v>37</v>
      </c>
      <c r="G467" s="5" t="s">
        <v>38</v>
      </c>
      <c r="H467" s="5">
        <v>126</v>
      </c>
      <c r="I467" s="6">
        <v>2188</v>
      </c>
      <c r="J467" s="6">
        <v>275688</v>
      </c>
      <c r="K467" s="5">
        <v>10</v>
      </c>
      <c r="L467" s="6">
        <v>248119.2</v>
      </c>
      <c r="M467" s="6">
        <v>158091.6</v>
      </c>
      <c r="N467" s="6">
        <v>90027.6</v>
      </c>
      <c r="O467" s="7">
        <v>36.28</v>
      </c>
      <c r="P467" s="5" t="s">
        <v>22</v>
      </c>
    </row>
    <row r="468" spans="1:16" x14ac:dyDescent="0.3">
      <c r="A468" s="2">
        <v>1677</v>
      </c>
      <c r="B468" s="2" t="s">
        <v>16</v>
      </c>
      <c r="C468" s="2" t="s">
        <v>17</v>
      </c>
      <c r="D468" s="2" t="s">
        <v>18</v>
      </c>
      <c r="E468" s="2" t="s">
        <v>44</v>
      </c>
      <c r="F468" s="2" t="s">
        <v>27</v>
      </c>
      <c r="G468" s="2" t="s">
        <v>28</v>
      </c>
      <c r="H468" s="2">
        <v>158</v>
      </c>
      <c r="I468" s="3">
        <v>8231</v>
      </c>
      <c r="J468" s="3">
        <v>1300498</v>
      </c>
      <c r="K468" s="2">
        <v>20</v>
      </c>
      <c r="L468" s="3">
        <v>1040398.4</v>
      </c>
      <c r="M468" s="3">
        <v>726510.09</v>
      </c>
      <c r="N468" s="3">
        <v>313888.31</v>
      </c>
      <c r="O468" s="4">
        <v>30.17</v>
      </c>
      <c r="P468" s="2" t="s">
        <v>50</v>
      </c>
    </row>
    <row r="469" spans="1:16" x14ac:dyDescent="0.3">
      <c r="A469" s="5">
        <v>1059</v>
      </c>
      <c r="B469" s="5" t="s">
        <v>62</v>
      </c>
      <c r="C469" s="5" t="s">
        <v>63</v>
      </c>
      <c r="D469" s="5" t="s">
        <v>25</v>
      </c>
      <c r="E469" s="5" t="s">
        <v>42</v>
      </c>
      <c r="F469" s="5" t="s">
        <v>37</v>
      </c>
      <c r="G469" s="5" t="s">
        <v>82</v>
      </c>
      <c r="H469" s="5">
        <v>34</v>
      </c>
      <c r="I469" s="6">
        <v>1483</v>
      </c>
      <c r="J469" s="6">
        <v>50422</v>
      </c>
      <c r="K469" s="5">
        <v>15</v>
      </c>
      <c r="L469" s="6">
        <v>42858.7</v>
      </c>
      <c r="M469" s="6">
        <v>27178.25</v>
      </c>
      <c r="N469" s="6">
        <v>15680.45</v>
      </c>
      <c r="O469" s="7">
        <v>36.590000000000003</v>
      </c>
      <c r="P469" s="5" t="s">
        <v>29</v>
      </c>
    </row>
    <row r="470" spans="1:16" x14ac:dyDescent="0.3">
      <c r="A470" s="2">
        <v>1869</v>
      </c>
      <c r="B470" s="2" t="s">
        <v>70</v>
      </c>
      <c r="C470" s="2" t="s">
        <v>71</v>
      </c>
      <c r="D470" s="2" t="s">
        <v>18</v>
      </c>
      <c r="E470" s="2" t="s">
        <v>42</v>
      </c>
      <c r="F470" s="2" t="s">
        <v>20</v>
      </c>
      <c r="G470" s="2" t="s">
        <v>68</v>
      </c>
      <c r="H470" s="2">
        <v>48</v>
      </c>
      <c r="I470" s="3">
        <v>138</v>
      </c>
      <c r="J470" s="3">
        <v>6624</v>
      </c>
      <c r="K470" s="2">
        <v>5</v>
      </c>
      <c r="L470" s="3">
        <v>6292.8</v>
      </c>
      <c r="M470" s="3">
        <v>3579.07</v>
      </c>
      <c r="N470" s="3">
        <v>2713.73</v>
      </c>
      <c r="O470" s="4">
        <v>43.12</v>
      </c>
      <c r="P470" s="2" t="s">
        <v>39</v>
      </c>
    </row>
    <row r="471" spans="1:16" x14ac:dyDescent="0.3">
      <c r="A471" s="5">
        <v>1949</v>
      </c>
      <c r="B471" s="5" t="s">
        <v>34</v>
      </c>
      <c r="C471" s="5" t="s">
        <v>35</v>
      </c>
      <c r="D471" s="5" t="s">
        <v>36</v>
      </c>
      <c r="E471" s="5" t="s">
        <v>19</v>
      </c>
      <c r="F471" s="5" t="s">
        <v>48</v>
      </c>
      <c r="G471" s="5" t="s">
        <v>51</v>
      </c>
      <c r="H471" s="5">
        <v>53</v>
      </c>
      <c r="I471" s="6">
        <v>1855</v>
      </c>
      <c r="J471" s="6">
        <v>98315</v>
      </c>
      <c r="K471" s="5">
        <v>5</v>
      </c>
      <c r="L471" s="6">
        <v>93399.25</v>
      </c>
      <c r="M471" s="6">
        <v>63454.34</v>
      </c>
      <c r="N471" s="6">
        <v>29944.91</v>
      </c>
      <c r="O471" s="7">
        <v>32.06</v>
      </c>
      <c r="P471" s="5" t="s">
        <v>50</v>
      </c>
    </row>
    <row r="472" spans="1:16" x14ac:dyDescent="0.3">
      <c r="A472" s="2">
        <v>1984</v>
      </c>
      <c r="B472" s="2" t="s">
        <v>34</v>
      </c>
      <c r="C472" s="2" t="s">
        <v>35</v>
      </c>
      <c r="D472" s="2" t="s">
        <v>36</v>
      </c>
      <c r="E472" s="2" t="s">
        <v>44</v>
      </c>
      <c r="F472" s="2" t="s">
        <v>37</v>
      </c>
      <c r="G472" s="2" t="s">
        <v>82</v>
      </c>
      <c r="H472" s="2">
        <v>169</v>
      </c>
      <c r="I472" s="3">
        <v>1378</v>
      </c>
      <c r="J472" s="3">
        <v>232882</v>
      </c>
      <c r="K472" s="2">
        <v>5</v>
      </c>
      <c r="L472" s="3">
        <v>221237.9</v>
      </c>
      <c r="M472" s="3">
        <v>132393.91</v>
      </c>
      <c r="N472" s="3">
        <v>88843.99</v>
      </c>
      <c r="O472" s="4">
        <v>40.159999999999997</v>
      </c>
      <c r="P472" s="2" t="s">
        <v>22</v>
      </c>
    </row>
    <row r="473" spans="1:16" x14ac:dyDescent="0.3">
      <c r="A473" s="5">
        <v>2140</v>
      </c>
      <c r="B473" s="5" t="s">
        <v>46</v>
      </c>
      <c r="C473" s="5" t="s">
        <v>47</v>
      </c>
      <c r="D473" s="5" t="s">
        <v>36</v>
      </c>
      <c r="E473" s="5" t="s">
        <v>19</v>
      </c>
      <c r="F473" s="5" t="s">
        <v>32</v>
      </c>
      <c r="G473" s="5" t="s">
        <v>65</v>
      </c>
      <c r="H473" s="5">
        <v>157</v>
      </c>
      <c r="I473" s="6">
        <v>5113</v>
      </c>
      <c r="J473" s="6">
        <v>802741</v>
      </c>
      <c r="K473" s="5">
        <v>5</v>
      </c>
      <c r="L473" s="6">
        <v>762603.95</v>
      </c>
      <c r="M473" s="6">
        <v>509536.71</v>
      </c>
      <c r="N473" s="6">
        <v>253067.24</v>
      </c>
      <c r="O473" s="7">
        <v>33.18</v>
      </c>
      <c r="P473" s="5" t="s">
        <v>29</v>
      </c>
    </row>
    <row r="474" spans="1:16" x14ac:dyDescent="0.3">
      <c r="A474" s="2">
        <v>1300</v>
      </c>
      <c r="B474" s="2" t="s">
        <v>52</v>
      </c>
      <c r="C474" s="2" t="s">
        <v>53</v>
      </c>
      <c r="D474" s="2" t="s">
        <v>25</v>
      </c>
      <c r="E474" s="2" t="s">
        <v>44</v>
      </c>
      <c r="F474" s="2" t="s">
        <v>48</v>
      </c>
      <c r="G474" s="2" t="s">
        <v>72</v>
      </c>
      <c r="H474" s="2">
        <v>117</v>
      </c>
      <c r="I474" s="3">
        <v>3625</v>
      </c>
      <c r="J474" s="3">
        <v>424125</v>
      </c>
      <c r="K474" s="2">
        <v>20</v>
      </c>
      <c r="L474" s="3">
        <v>339300</v>
      </c>
      <c r="M474" s="3">
        <v>188386.09</v>
      </c>
      <c r="N474" s="3">
        <v>150913.91</v>
      </c>
      <c r="O474" s="4">
        <v>44.48</v>
      </c>
      <c r="P474" s="2" t="s">
        <v>29</v>
      </c>
    </row>
    <row r="475" spans="1:16" x14ac:dyDescent="0.3">
      <c r="A475" s="5">
        <v>1879</v>
      </c>
      <c r="B475" s="5" t="s">
        <v>70</v>
      </c>
      <c r="C475" s="5" t="s">
        <v>71</v>
      </c>
      <c r="D475" s="5" t="s">
        <v>18</v>
      </c>
      <c r="E475" s="5" t="s">
        <v>44</v>
      </c>
      <c r="F475" s="5" t="s">
        <v>27</v>
      </c>
      <c r="G475" s="5" t="s">
        <v>66</v>
      </c>
      <c r="H475" s="5">
        <v>55</v>
      </c>
      <c r="I475" s="6">
        <v>822</v>
      </c>
      <c r="J475" s="6">
        <v>45210</v>
      </c>
      <c r="K475" s="5">
        <v>5</v>
      </c>
      <c r="L475" s="6">
        <v>42949.5</v>
      </c>
      <c r="M475" s="6">
        <v>25944.25</v>
      </c>
      <c r="N475" s="6">
        <v>17005.25</v>
      </c>
      <c r="O475" s="7">
        <v>39.590000000000003</v>
      </c>
      <c r="P475" s="5" t="s">
        <v>43</v>
      </c>
    </row>
    <row r="476" spans="1:16" x14ac:dyDescent="0.3">
      <c r="A476" s="2">
        <v>1182</v>
      </c>
      <c r="B476" s="2" t="s">
        <v>23</v>
      </c>
      <c r="C476" s="2" t="s">
        <v>24</v>
      </c>
      <c r="D476" s="2" t="s">
        <v>25</v>
      </c>
      <c r="E476" s="2" t="s">
        <v>44</v>
      </c>
      <c r="F476" s="2" t="s">
        <v>37</v>
      </c>
      <c r="G476" s="2" t="s">
        <v>79</v>
      </c>
      <c r="H476" s="2">
        <v>86</v>
      </c>
      <c r="I476" s="3">
        <v>1297</v>
      </c>
      <c r="J476" s="3">
        <v>111542</v>
      </c>
      <c r="K476" s="2">
        <v>0</v>
      </c>
      <c r="L476" s="3">
        <v>111542</v>
      </c>
      <c r="M476" s="3">
        <v>66516.95</v>
      </c>
      <c r="N476" s="3">
        <v>45025.05</v>
      </c>
      <c r="O476" s="4">
        <v>40.369999999999997</v>
      </c>
      <c r="P476" s="2" t="s">
        <v>39</v>
      </c>
    </row>
    <row r="477" spans="1:16" x14ac:dyDescent="0.3">
      <c r="A477" s="5">
        <v>1130</v>
      </c>
      <c r="B477" s="5" t="s">
        <v>23</v>
      </c>
      <c r="C477" s="5" t="s">
        <v>24</v>
      </c>
      <c r="D477" s="5" t="s">
        <v>25</v>
      </c>
      <c r="E477" s="5" t="s">
        <v>19</v>
      </c>
      <c r="F477" s="5" t="s">
        <v>27</v>
      </c>
      <c r="G477" s="5" t="s">
        <v>84</v>
      </c>
      <c r="H477" s="5">
        <v>114</v>
      </c>
      <c r="I477" s="6">
        <v>14933</v>
      </c>
      <c r="J477" s="6">
        <v>1702362</v>
      </c>
      <c r="K477" s="5">
        <v>0</v>
      </c>
      <c r="L477" s="6">
        <v>1702362</v>
      </c>
      <c r="M477" s="6">
        <v>1038621.47</v>
      </c>
      <c r="N477" s="6">
        <v>663740.53</v>
      </c>
      <c r="O477" s="7">
        <v>38.99</v>
      </c>
      <c r="P477" s="5" t="s">
        <v>29</v>
      </c>
    </row>
    <row r="478" spans="1:16" x14ac:dyDescent="0.3">
      <c r="A478" s="2">
        <v>1852</v>
      </c>
      <c r="B478" s="2" t="s">
        <v>70</v>
      </c>
      <c r="C478" s="2" t="s">
        <v>71</v>
      </c>
      <c r="D478" s="2" t="s">
        <v>18</v>
      </c>
      <c r="E478" s="2" t="s">
        <v>42</v>
      </c>
      <c r="F478" s="2" t="s">
        <v>27</v>
      </c>
      <c r="G478" s="2" t="s">
        <v>28</v>
      </c>
      <c r="H478" s="2">
        <v>34</v>
      </c>
      <c r="I478" s="3">
        <v>8691</v>
      </c>
      <c r="J478" s="3">
        <v>295494</v>
      </c>
      <c r="K478" s="2">
        <v>15</v>
      </c>
      <c r="L478" s="3">
        <v>251169.9</v>
      </c>
      <c r="M478" s="3">
        <v>149799.13</v>
      </c>
      <c r="N478" s="3">
        <v>101370.77</v>
      </c>
      <c r="O478" s="4">
        <v>40.36</v>
      </c>
      <c r="P478" s="2" t="s">
        <v>45</v>
      </c>
    </row>
    <row r="479" spans="1:16" x14ac:dyDescent="0.3">
      <c r="A479" s="5">
        <v>2118</v>
      </c>
      <c r="B479" s="5" t="s">
        <v>46</v>
      </c>
      <c r="C479" s="5" t="s">
        <v>47</v>
      </c>
      <c r="D479" s="5" t="s">
        <v>36</v>
      </c>
      <c r="E479" s="5" t="s">
        <v>26</v>
      </c>
      <c r="F479" s="5" t="s">
        <v>20</v>
      </c>
      <c r="G479" s="5" t="s">
        <v>21</v>
      </c>
      <c r="H479" s="5">
        <v>231</v>
      </c>
      <c r="I479" s="6">
        <v>112</v>
      </c>
      <c r="J479" s="6">
        <v>25872</v>
      </c>
      <c r="K479" s="5">
        <v>0</v>
      </c>
      <c r="L479" s="6">
        <v>25872</v>
      </c>
      <c r="M479" s="6">
        <v>16112.03</v>
      </c>
      <c r="N479" s="6">
        <v>9759.9699999999993</v>
      </c>
      <c r="O479" s="7">
        <v>37.72</v>
      </c>
      <c r="P479" s="5" t="s">
        <v>29</v>
      </c>
    </row>
    <row r="480" spans="1:16" x14ac:dyDescent="0.3">
      <c r="A480" s="2">
        <v>1369</v>
      </c>
      <c r="B480" s="2" t="s">
        <v>57</v>
      </c>
      <c r="C480" s="2" t="s">
        <v>58</v>
      </c>
      <c r="D480" s="2" t="s">
        <v>56</v>
      </c>
      <c r="E480" s="2" t="s">
        <v>42</v>
      </c>
      <c r="F480" s="2" t="s">
        <v>20</v>
      </c>
      <c r="G480" s="2" t="s">
        <v>68</v>
      </c>
      <c r="H480" s="2">
        <v>121</v>
      </c>
      <c r="I480" s="3">
        <v>159</v>
      </c>
      <c r="J480" s="3">
        <v>19239</v>
      </c>
      <c r="K480" s="2">
        <v>5</v>
      </c>
      <c r="L480" s="3">
        <v>18277.05</v>
      </c>
      <c r="M480" s="3">
        <v>10533.51</v>
      </c>
      <c r="N480" s="3">
        <v>7743.54</v>
      </c>
      <c r="O480" s="4">
        <v>42.37</v>
      </c>
      <c r="P480" s="2" t="s">
        <v>22</v>
      </c>
    </row>
    <row r="481" spans="1:16" x14ac:dyDescent="0.3">
      <c r="A481" s="5">
        <v>1339</v>
      </c>
      <c r="B481" s="5" t="s">
        <v>57</v>
      </c>
      <c r="C481" s="5" t="s">
        <v>58</v>
      </c>
      <c r="D481" s="5" t="s">
        <v>56</v>
      </c>
      <c r="E481" s="5" t="s">
        <v>19</v>
      </c>
      <c r="F481" s="5" t="s">
        <v>32</v>
      </c>
      <c r="G481" s="5" t="s">
        <v>33</v>
      </c>
      <c r="H481" s="5">
        <v>23</v>
      </c>
      <c r="I481" s="6">
        <v>10427</v>
      </c>
      <c r="J481" s="6">
        <v>239821</v>
      </c>
      <c r="K481" s="5">
        <v>20</v>
      </c>
      <c r="L481" s="6">
        <v>191856.8</v>
      </c>
      <c r="M481" s="6">
        <v>120466.87</v>
      </c>
      <c r="N481" s="6">
        <v>71389.929999999993</v>
      </c>
      <c r="O481" s="7">
        <v>37.21</v>
      </c>
      <c r="P481" s="5" t="s">
        <v>61</v>
      </c>
    </row>
    <row r="482" spans="1:16" x14ac:dyDescent="0.3">
      <c r="A482" s="2">
        <v>1238</v>
      </c>
      <c r="B482" s="2" t="s">
        <v>52</v>
      </c>
      <c r="C482" s="2" t="s">
        <v>53</v>
      </c>
      <c r="D482" s="2" t="s">
        <v>25</v>
      </c>
      <c r="E482" s="2" t="s">
        <v>19</v>
      </c>
      <c r="F482" s="2" t="s">
        <v>32</v>
      </c>
      <c r="G482" s="2" t="s">
        <v>81</v>
      </c>
      <c r="H482" s="2">
        <v>109</v>
      </c>
      <c r="I482" s="3">
        <v>15175</v>
      </c>
      <c r="J482" s="3">
        <v>1654075</v>
      </c>
      <c r="K482" s="2">
        <v>0</v>
      </c>
      <c r="L482" s="3">
        <v>1654075</v>
      </c>
      <c r="M482" s="3">
        <v>1018094.36</v>
      </c>
      <c r="N482" s="3">
        <v>635980.64</v>
      </c>
      <c r="O482" s="4">
        <v>38.450000000000003</v>
      </c>
      <c r="P482" s="2" t="s">
        <v>29</v>
      </c>
    </row>
    <row r="483" spans="1:16" x14ac:dyDescent="0.3">
      <c r="A483" s="5">
        <v>1049</v>
      </c>
      <c r="B483" s="5" t="s">
        <v>62</v>
      </c>
      <c r="C483" s="5" t="s">
        <v>63</v>
      </c>
      <c r="D483" s="5" t="s">
        <v>25</v>
      </c>
      <c r="E483" s="5" t="s">
        <v>19</v>
      </c>
      <c r="F483" s="5" t="s">
        <v>48</v>
      </c>
      <c r="G483" s="5" t="s">
        <v>51</v>
      </c>
      <c r="H483" s="5">
        <v>107</v>
      </c>
      <c r="I483" s="6">
        <v>1882</v>
      </c>
      <c r="J483" s="6">
        <v>201374</v>
      </c>
      <c r="K483" s="5">
        <v>10</v>
      </c>
      <c r="L483" s="6">
        <v>181236.6</v>
      </c>
      <c r="M483" s="6">
        <v>106168.92</v>
      </c>
      <c r="N483" s="6">
        <v>75067.679999999993</v>
      </c>
      <c r="O483" s="7">
        <v>41.42</v>
      </c>
      <c r="P483" s="5" t="s">
        <v>22</v>
      </c>
    </row>
    <row r="484" spans="1:16" x14ac:dyDescent="0.3">
      <c r="A484" s="2">
        <v>1729</v>
      </c>
      <c r="B484" s="2" t="s">
        <v>30</v>
      </c>
      <c r="C484" s="2" t="s">
        <v>31</v>
      </c>
      <c r="D484" s="2" t="s">
        <v>18</v>
      </c>
      <c r="E484" s="2" t="s">
        <v>19</v>
      </c>
      <c r="F484" s="2" t="s">
        <v>27</v>
      </c>
      <c r="G484" s="2" t="s">
        <v>66</v>
      </c>
      <c r="H484" s="2">
        <v>30</v>
      </c>
      <c r="I484" s="3">
        <v>833</v>
      </c>
      <c r="J484" s="3">
        <v>24990</v>
      </c>
      <c r="K484" s="2">
        <v>5</v>
      </c>
      <c r="L484" s="3">
        <v>23740.5</v>
      </c>
      <c r="M484" s="3">
        <v>16465.18</v>
      </c>
      <c r="N484" s="3">
        <v>7275.32</v>
      </c>
      <c r="O484" s="4">
        <v>30.65</v>
      </c>
      <c r="P484" s="2" t="s">
        <v>29</v>
      </c>
    </row>
    <row r="485" spans="1:16" x14ac:dyDescent="0.3">
      <c r="A485" s="5">
        <v>1603</v>
      </c>
      <c r="B485" s="5" t="s">
        <v>16</v>
      </c>
      <c r="C485" s="5" t="s">
        <v>17</v>
      </c>
      <c r="D485" s="5" t="s">
        <v>18</v>
      </c>
      <c r="E485" s="5" t="s">
        <v>26</v>
      </c>
      <c r="F485" s="5" t="s">
        <v>27</v>
      </c>
      <c r="G485" s="5" t="s">
        <v>83</v>
      </c>
      <c r="H485" s="5">
        <v>25</v>
      </c>
      <c r="I485" s="6">
        <v>4588</v>
      </c>
      <c r="J485" s="6">
        <v>114700</v>
      </c>
      <c r="K485" s="5">
        <v>20</v>
      </c>
      <c r="L485" s="6">
        <v>91760</v>
      </c>
      <c r="M485" s="6">
        <v>53216.32</v>
      </c>
      <c r="N485" s="6">
        <v>38543.68</v>
      </c>
      <c r="O485" s="7">
        <v>42</v>
      </c>
      <c r="P485" s="5" t="s">
        <v>43</v>
      </c>
    </row>
    <row r="486" spans="1:16" x14ac:dyDescent="0.3">
      <c r="A486" s="2">
        <v>1565</v>
      </c>
      <c r="B486" s="2" t="s">
        <v>73</v>
      </c>
      <c r="C486" s="2" t="s">
        <v>74</v>
      </c>
      <c r="D486" s="2" t="s">
        <v>56</v>
      </c>
      <c r="E486" s="2" t="s">
        <v>42</v>
      </c>
      <c r="F486" s="2" t="s">
        <v>32</v>
      </c>
      <c r="G486" s="2" t="s">
        <v>65</v>
      </c>
      <c r="H486" s="2">
        <v>41</v>
      </c>
      <c r="I486" s="3">
        <v>5442</v>
      </c>
      <c r="J486" s="3">
        <v>223122</v>
      </c>
      <c r="K486" s="2">
        <v>0</v>
      </c>
      <c r="L486" s="3">
        <v>223122</v>
      </c>
      <c r="M486" s="3">
        <v>128339.41</v>
      </c>
      <c r="N486" s="3">
        <v>94782.59</v>
      </c>
      <c r="O486" s="4">
        <v>42.48</v>
      </c>
      <c r="P486" s="2" t="s">
        <v>22</v>
      </c>
    </row>
    <row r="487" spans="1:16" x14ac:dyDescent="0.3">
      <c r="A487" s="5">
        <v>1634</v>
      </c>
      <c r="B487" s="5" t="s">
        <v>16</v>
      </c>
      <c r="C487" s="5" t="s">
        <v>17</v>
      </c>
      <c r="D487" s="5" t="s">
        <v>18</v>
      </c>
      <c r="E487" s="5" t="s">
        <v>19</v>
      </c>
      <c r="F487" s="5" t="s">
        <v>37</v>
      </c>
      <c r="G487" s="5" t="s">
        <v>82</v>
      </c>
      <c r="H487" s="5">
        <v>44</v>
      </c>
      <c r="I487" s="6">
        <v>1522</v>
      </c>
      <c r="J487" s="6">
        <v>66968</v>
      </c>
      <c r="K487" s="5">
        <v>5</v>
      </c>
      <c r="L487" s="6">
        <v>63619.6</v>
      </c>
      <c r="M487" s="6">
        <v>43170.14</v>
      </c>
      <c r="N487" s="6">
        <v>20449.46</v>
      </c>
      <c r="O487" s="7">
        <v>32.14</v>
      </c>
      <c r="P487" s="5" t="s">
        <v>45</v>
      </c>
    </row>
    <row r="488" spans="1:16" x14ac:dyDescent="0.3">
      <c r="A488" s="2">
        <v>1697</v>
      </c>
      <c r="B488" s="2" t="s">
        <v>16</v>
      </c>
      <c r="C488" s="2" t="s">
        <v>17</v>
      </c>
      <c r="D488" s="2" t="s">
        <v>18</v>
      </c>
      <c r="E488" s="2" t="s">
        <v>44</v>
      </c>
      <c r="F488" s="2" t="s">
        <v>48</v>
      </c>
      <c r="G488" s="2" t="s">
        <v>78</v>
      </c>
      <c r="H488" s="2">
        <v>156</v>
      </c>
      <c r="I488" s="3">
        <v>607</v>
      </c>
      <c r="J488" s="3">
        <v>94692</v>
      </c>
      <c r="K488" s="2">
        <v>20</v>
      </c>
      <c r="L488" s="3">
        <v>75753.600000000006</v>
      </c>
      <c r="M488" s="3">
        <v>52463.4</v>
      </c>
      <c r="N488" s="3">
        <v>23290.2</v>
      </c>
      <c r="O488" s="4">
        <v>30.74</v>
      </c>
      <c r="P488" s="2" t="s">
        <v>41</v>
      </c>
    </row>
    <row r="489" spans="1:16" x14ac:dyDescent="0.3">
      <c r="A489" s="5">
        <v>2165</v>
      </c>
      <c r="B489" s="5" t="s">
        <v>46</v>
      </c>
      <c r="C489" s="5" t="s">
        <v>47</v>
      </c>
      <c r="D489" s="5" t="s">
        <v>36</v>
      </c>
      <c r="E489" s="5" t="s">
        <v>42</v>
      </c>
      <c r="F489" s="5" t="s">
        <v>32</v>
      </c>
      <c r="G489" s="5" t="s">
        <v>65</v>
      </c>
      <c r="H489" s="5">
        <v>100</v>
      </c>
      <c r="I489" s="6">
        <v>4612</v>
      </c>
      <c r="J489" s="6">
        <v>461200</v>
      </c>
      <c r="K489" s="5">
        <v>20</v>
      </c>
      <c r="L489" s="6">
        <v>368960</v>
      </c>
      <c r="M489" s="6">
        <v>252747.26</v>
      </c>
      <c r="N489" s="6">
        <v>116212.74</v>
      </c>
      <c r="O489" s="7">
        <v>31.5</v>
      </c>
      <c r="P489" s="5" t="s">
        <v>61</v>
      </c>
    </row>
    <row r="490" spans="1:16" x14ac:dyDescent="0.3">
      <c r="A490" s="2">
        <v>2057</v>
      </c>
      <c r="B490" s="2" t="s">
        <v>76</v>
      </c>
      <c r="C490" s="2" t="s">
        <v>77</v>
      </c>
      <c r="D490" s="2" t="s">
        <v>36</v>
      </c>
      <c r="E490" s="2" t="s">
        <v>42</v>
      </c>
      <c r="F490" s="2" t="s">
        <v>37</v>
      </c>
      <c r="G490" s="2" t="s">
        <v>79</v>
      </c>
      <c r="H490" s="2">
        <v>183</v>
      </c>
      <c r="I490" s="3">
        <v>1230</v>
      </c>
      <c r="J490" s="3">
        <v>225090</v>
      </c>
      <c r="K490" s="2">
        <v>5</v>
      </c>
      <c r="L490" s="3">
        <v>213835.5</v>
      </c>
      <c r="M490" s="3">
        <v>133158.37</v>
      </c>
      <c r="N490" s="3">
        <v>80677.13</v>
      </c>
      <c r="O490" s="4">
        <v>37.729999999999997</v>
      </c>
      <c r="P490" s="2" t="s">
        <v>61</v>
      </c>
    </row>
    <row r="491" spans="1:16" x14ac:dyDescent="0.3">
      <c r="A491" s="5">
        <v>1040</v>
      </c>
      <c r="B491" s="5" t="s">
        <v>62</v>
      </c>
      <c r="C491" s="5" t="s">
        <v>63</v>
      </c>
      <c r="D491" s="5" t="s">
        <v>25</v>
      </c>
      <c r="E491" s="5" t="s">
        <v>19</v>
      </c>
      <c r="F491" s="5" t="s">
        <v>32</v>
      </c>
      <c r="G491" s="5" t="s">
        <v>65</v>
      </c>
      <c r="H491" s="5">
        <v>101</v>
      </c>
      <c r="I491" s="6">
        <v>4575</v>
      </c>
      <c r="J491" s="6">
        <v>462075</v>
      </c>
      <c r="K491" s="5">
        <v>0</v>
      </c>
      <c r="L491" s="6">
        <v>462075</v>
      </c>
      <c r="M491" s="6">
        <v>257647.59</v>
      </c>
      <c r="N491" s="6">
        <v>204427.41</v>
      </c>
      <c r="O491" s="7">
        <v>44.24</v>
      </c>
      <c r="P491" s="5" t="s">
        <v>43</v>
      </c>
    </row>
    <row r="492" spans="1:16" x14ac:dyDescent="0.3">
      <c r="A492" s="2">
        <v>1283</v>
      </c>
      <c r="B492" s="2" t="s">
        <v>52</v>
      </c>
      <c r="C492" s="2" t="s">
        <v>53</v>
      </c>
      <c r="D492" s="2" t="s">
        <v>25</v>
      </c>
      <c r="E492" s="2" t="s">
        <v>44</v>
      </c>
      <c r="F492" s="2" t="s">
        <v>37</v>
      </c>
      <c r="G492" s="2" t="s">
        <v>38</v>
      </c>
      <c r="H492" s="2">
        <v>23</v>
      </c>
      <c r="I492" s="3">
        <v>1955</v>
      </c>
      <c r="J492" s="3">
        <v>44965</v>
      </c>
      <c r="K492" s="2">
        <v>10</v>
      </c>
      <c r="L492" s="3">
        <v>40468.5</v>
      </c>
      <c r="M492" s="3">
        <v>23797.4</v>
      </c>
      <c r="N492" s="3">
        <v>16671.099999999999</v>
      </c>
      <c r="O492" s="4">
        <v>41.2</v>
      </c>
      <c r="P492" s="2" t="s">
        <v>43</v>
      </c>
    </row>
    <row r="493" spans="1:16" x14ac:dyDescent="0.3">
      <c r="A493" s="5">
        <v>1025</v>
      </c>
      <c r="B493" s="5" t="s">
        <v>62</v>
      </c>
      <c r="C493" s="5" t="s">
        <v>63</v>
      </c>
      <c r="D493" s="5" t="s">
        <v>25</v>
      </c>
      <c r="E493" s="5" t="s">
        <v>26</v>
      </c>
      <c r="F493" s="5" t="s">
        <v>48</v>
      </c>
      <c r="G493" s="5" t="s">
        <v>72</v>
      </c>
      <c r="H493" s="5">
        <v>113</v>
      </c>
      <c r="I493" s="6">
        <v>3505</v>
      </c>
      <c r="J493" s="6">
        <v>396065</v>
      </c>
      <c r="K493" s="5">
        <v>5</v>
      </c>
      <c r="L493" s="6">
        <v>376261.75</v>
      </c>
      <c r="M493" s="6">
        <v>215570.1</v>
      </c>
      <c r="N493" s="6">
        <v>160691.65</v>
      </c>
      <c r="O493" s="7">
        <v>42.71</v>
      </c>
      <c r="P493" s="5" t="s">
        <v>61</v>
      </c>
    </row>
    <row r="494" spans="1:16" x14ac:dyDescent="0.3">
      <c r="A494" s="2">
        <v>1551</v>
      </c>
      <c r="B494" s="2" t="s">
        <v>73</v>
      </c>
      <c r="C494" s="2" t="s">
        <v>74</v>
      </c>
      <c r="D494" s="2" t="s">
        <v>56</v>
      </c>
      <c r="E494" s="2" t="s">
        <v>42</v>
      </c>
      <c r="F494" s="2" t="s">
        <v>27</v>
      </c>
      <c r="G494" s="2" t="s">
        <v>85</v>
      </c>
      <c r="H494" s="2">
        <v>34</v>
      </c>
      <c r="I494" s="3">
        <v>12163</v>
      </c>
      <c r="J494" s="3">
        <v>413542</v>
      </c>
      <c r="K494" s="2">
        <v>15</v>
      </c>
      <c r="L494" s="3">
        <v>351510.7</v>
      </c>
      <c r="M494" s="3">
        <v>228259.3</v>
      </c>
      <c r="N494" s="3">
        <v>123251.4</v>
      </c>
      <c r="O494" s="4">
        <v>35.06</v>
      </c>
      <c r="P494" s="2" t="s">
        <v>61</v>
      </c>
    </row>
    <row r="495" spans="1:16" x14ac:dyDescent="0.3">
      <c r="A495" s="5">
        <v>1728</v>
      </c>
      <c r="B495" s="5" t="s">
        <v>30</v>
      </c>
      <c r="C495" s="5" t="s">
        <v>31</v>
      </c>
      <c r="D495" s="5" t="s">
        <v>18</v>
      </c>
      <c r="E495" s="5" t="s">
        <v>19</v>
      </c>
      <c r="F495" s="5" t="s">
        <v>27</v>
      </c>
      <c r="G495" s="5" t="s">
        <v>83</v>
      </c>
      <c r="H495" s="5">
        <v>126</v>
      </c>
      <c r="I495" s="6">
        <v>5125</v>
      </c>
      <c r="J495" s="6">
        <v>645750</v>
      </c>
      <c r="K495" s="5">
        <v>5</v>
      </c>
      <c r="L495" s="6">
        <v>613462.5</v>
      </c>
      <c r="M495" s="6">
        <v>382544.57</v>
      </c>
      <c r="N495" s="6">
        <v>230917.93</v>
      </c>
      <c r="O495" s="7">
        <v>37.64</v>
      </c>
      <c r="P495" s="5" t="s">
        <v>41</v>
      </c>
    </row>
    <row r="496" spans="1:16" x14ac:dyDescent="0.3">
      <c r="A496" s="2">
        <v>1219</v>
      </c>
      <c r="B496" s="2" t="s">
        <v>52</v>
      </c>
      <c r="C496" s="2" t="s">
        <v>53</v>
      </c>
      <c r="D496" s="2" t="s">
        <v>25</v>
      </c>
      <c r="E496" s="2" t="s">
        <v>26</v>
      </c>
      <c r="F496" s="2" t="s">
        <v>20</v>
      </c>
      <c r="G496" s="2" t="s">
        <v>68</v>
      </c>
      <c r="H496" s="2">
        <v>65</v>
      </c>
      <c r="I496" s="3">
        <v>155</v>
      </c>
      <c r="J496" s="3">
        <v>10075</v>
      </c>
      <c r="K496" s="2">
        <v>15</v>
      </c>
      <c r="L496" s="3">
        <v>8563.75</v>
      </c>
      <c r="M496" s="3">
        <v>5825.18</v>
      </c>
      <c r="N496" s="3">
        <v>2738.57</v>
      </c>
      <c r="O496" s="4">
        <v>31.98</v>
      </c>
      <c r="P496" s="2" t="s">
        <v>43</v>
      </c>
    </row>
    <row r="497" spans="1:16" x14ac:dyDescent="0.3">
      <c r="A497" s="5">
        <v>1835</v>
      </c>
      <c r="B497" s="5" t="s">
        <v>70</v>
      </c>
      <c r="C497" s="5" t="s">
        <v>71</v>
      </c>
      <c r="D497" s="5" t="s">
        <v>18</v>
      </c>
      <c r="E497" s="5" t="s">
        <v>19</v>
      </c>
      <c r="F497" s="5" t="s">
        <v>37</v>
      </c>
      <c r="G497" s="5" t="s">
        <v>67</v>
      </c>
      <c r="H497" s="5">
        <v>91</v>
      </c>
      <c r="I497" s="6">
        <v>1928</v>
      </c>
      <c r="J497" s="6">
        <v>175448</v>
      </c>
      <c r="K497" s="5">
        <v>5</v>
      </c>
      <c r="L497" s="6">
        <v>166675.6</v>
      </c>
      <c r="M497" s="6">
        <v>95317.87</v>
      </c>
      <c r="N497" s="6">
        <v>71357.73</v>
      </c>
      <c r="O497" s="7">
        <v>42.81</v>
      </c>
      <c r="P497" s="5" t="s">
        <v>61</v>
      </c>
    </row>
    <row r="498" spans="1:16" x14ac:dyDescent="0.3">
      <c r="A498" s="2">
        <v>1128</v>
      </c>
      <c r="B498" s="2" t="s">
        <v>23</v>
      </c>
      <c r="C498" s="2" t="s">
        <v>24</v>
      </c>
      <c r="D498" s="2" t="s">
        <v>25</v>
      </c>
      <c r="E498" s="2" t="s">
        <v>19</v>
      </c>
      <c r="F498" s="2" t="s">
        <v>27</v>
      </c>
      <c r="G498" s="2" t="s">
        <v>83</v>
      </c>
      <c r="H498" s="2">
        <v>83</v>
      </c>
      <c r="I498" s="3">
        <v>5253</v>
      </c>
      <c r="J498" s="3">
        <v>435999</v>
      </c>
      <c r="K498" s="2">
        <v>0</v>
      </c>
      <c r="L498" s="3">
        <v>435999</v>
      </c>
      <c r="M498" s="3">
        <v>296875.19</v>
      </c>
      <c r="N498" s="3">
        <v>139123.81</v>
      </c>
      <c r="O498" s="4">
        <v>31.91</v>
      </c>
      <c r="P498" s="2" t="s">
        <v>50</v>
      </c>
    </row>
    <row r="499" spans="1:16" x14ac:dyDescent="0.3">
      <c r="A499" s="5">
        <v>1831</v>
      </c>
      <c r="B499" s="5" t="s">
        <v>70</v>
      </c>
      <c r="C499" s="5" t="s">
        <v>71</v>
      </c>
      <c r="D499" s="5" t="s">
        <v>18</v>
      </c>
      <c r="E499" s="5" t="s">
        <v>19</v>
      </c>
      <c r="F499" s="5" t="s">
        <v>37</v>
      </c>
      <c r="G499" s="5" t="s">
        <v>59</v>
      </c>
      <c r="H499" s="5">
        <v>44</v>
      </c>
      <c r="I499" s="6">
        <v>476</v>
      </c>
      <c r="J499" s="6">
        <v>20944</v>
      </c>
      <c r="K499" s="5">
        <v>5</v>
      </c>
      <c r="L499" s="6">
        <v>19896.8</v>
      </c>
      <c r="M499" s="6">
        <v>12349.98</v>
      </c>
      <c r="N499" s="6">
        <v>7546.82</v>
      </c>
      <c r="O499" s="7">
        <v>37.93</v>
      </c>
      <c r="P499" s="5" t="s">
        <v>41</v>
      </c>
    </row>
    <row r="500" spans="1:16" x14ac:dyDescent="0.3">
      <c r="A500" s="2">
        <v>2180</v>
      </c>
      <c r="B500" s="2" t="s">
        <v>46</v>
      </c>
      <c r="C500" s="2" t="s">
        <v>47</v>
      </c>
      <c r="D500" s="2" t="s">
        <v>36</v>
      </c>
      <c r="E500" s="2" t="s">
        <v>44</v>
      </c>
      <c r="F500" s="2" t="s">
        <v>27</v>
      </c>
      <c r="G500" s="2" t="s">
        <v>84</v>
      </c>
      <c r="H500" s="2">
        <v>126</v>
      </c>
      <c r="I500" s="3">
        <v>15720</v>
      </c>
      <c r="J500" s="3">
        <v>1980720</v>
      </c>
      <c r="K500" s="2">
        <v>5</v>
      </c>
      <c r="L500" s="3">
        <v>1881684</v>
      </c>
      <c r="M500" s="3">
        <v>1042501.86</v>
      </c>
      <c r="N500" s="3">
        <v>839182.14</v>
      </c>
      <c r="O500" s="4">
        <v>44.6</v>
      </c>
      <c r="P500" s="2" t="s">
        <v>43</v>
      </c>
    </row>
    <row r="501" spans="1:16" x14ac:dyDescent="0.3">
      <c r="A501" s="5">
        <v>1791</v>
      </c>
      <c r="B501" s="5" t="s">
        <v>30</v>
      </c>
      <c r="C501" s="5" t="s">
        <v>31</v>
      </c>
      <c r="D501" s="5" t="s">
        <v>18</v>
      </c>
      <c r="E501" s="5" t="s">
        <v>44</v>
      </c>
      <c r="F501" s="5" t="s">
        <v>20</v>
      </c>
      <c r="G501" s="5" t="s">
        <v>64</v>
      </c>
      <c r="H501" s="5">
        <v>54</v>
      </c>
      <c r="I501" s="6">
        <v>212</v>
      </c>
      <c r="J501" s="6">
        <v>11448</v>
      </c>
      <c r="K501" s="5">
        <v>15</v>
      </c>
      <c r="L501" s="6">
        <v>9730.7999999999993</v>
      </c>
      <c r="M501" s="6">
        <v>5863.56</v>
      </c>
      <c r="N501" s="6">
        <v>3867.24</v>
      </c>
      <c r="O501" s="7">
        <v>39.74</v>
      </c>
      <c r="P501" s="5" t="s">
        <v>29</v>
      </c>
    </row>
    <row r="502" spans="1:16" x14ac:dyDescent="0.3">
      <c r="A502" s="2">
        <v>1351</v>
      </c>
      <c r="B502" s="2" t="s">
        <v>57</v>
      </c>
      <c r="C502" s="2" t="s">
        <v>58</v>
      </c>
      <c r="D502" s="2" t="s">
        <v>56</v>
      </c>
      <c r="E502" s="2" t="s">
        <v>42</v>
      </c>
      <c r="F502" s="2" t="s">
        <v>27</v>
      </c>
      <c r="G502" s="2" t="s">
        <v>85</v>
      </c>
      <c r="H502" s="2">
        <v>104</v>
      </c>
      <c r="I502" s="3">
        <v>11261</v>
      </c>
      <c r="J502" s="3">
        <v>1171144</v>
      </c>
      <c r="K502" s="2">
        <v>5</v>
      </c>
      <c r="L502" s="3">
        <v>1112586.8</v>
      </c>
      <c r="M502" s="3">
        <v>658485.56000000006</v>
      </c>
      <c r="N502" s="3">
        <v>454101.24</v>
      </c>
      <c r="O502" s="4">
        <v>40.81</v>
      </c>
      <c r="P502" s="2" t="s">
        <v>50</v>
      </c>
    </row>
    <row r="503" spans="1:16" x14ac:dyDescent="0.3">
      <c r="A503" s="5">
        <v>1977</v>
      </c>
      <c r="B503" s="5" t="s">
        <v>34</v>
      </c>
      <c r="C503" s="5" t="s">
        <v>35</v>
      </c>
      <c r="D503" s="5" t="s">
        <v>36</v>
      </c>
      <c r="E503" s="5" t="s">
        <v>44</v>
      </c>
      <c r="F503" s="5" t="s">
        <v>27</v>
      </c>
      <c r="G503" s="5" t="s">
        <v>28</v>
      </c>
      <c r="H503" s="5">
        <v>25</v>
      </c>
      <c r="I503" s="6">
        <v>7996</v>
      </c>
      <c r="J503" s="6">
        <v>199900</v>
      </c>
      <c r="K503" s="5">
        <v>20</v>
      </c>
      <c r="L503" s="6">
        <v>159920</v>
      </c>
      <c r="M503" s="6">
        <v>100993.51</v>
      </c>
      <c r="N503" s="6">
        <v>58926.49</v>
      </c>
      <c r="O503" s="7">
        <v>36.85</v>
      </c>
      <c r="P503" s="5" t="s">
        <v>43</v>
      </c>
    </row>
    <row r="504" spans="1:16" x14ac:dyDescent="0.3">
      <c r="A504" s="2">
        <v>1641</v>
      </c>
      <c r="B504" s="2" t="s">
        <v>16</v>
      </c>
      <c r="C504" s="2" t="s">
        <v>17</v>
      </c>
      <c r="D504" s="2" t="s">
        <v>18</v>
      </c>
      <c r="E504" s="2" t="s">
        <v>19</v>
      </c>
      <c r="F504" s="2" t="s">
        <v>20</v>
      </c>
      <c r="G504" s="2" t="s">
        <v>64</v>
      </c>
      <c r="H504" s="2">
        <v>64</v>
      </c>
      <c r="I504" s="3">
        <v>184</v>
      </c>
      <c r="J504" s="3">
        <v>11776</v>
      </c>
      <c r="K504" s="2">
        <v>0</v>
      </c>
      <c r="L504" s="3">
        <v>11776</v>
      </c>
      <c r="M504" s="3">
        <v>7070.81</v>
      </c>
      <c r="N504" s="3">
        <v>4705.1899999999996</v>
      </c>
      <c r="O504" s="4">
        <v>39.96</v>
      </c>
      <c r="P504" s="2" t="s">
        <v>50</v>
      </c>
    </row>
    <row r="505" spans="1:16" x14ac:dyDescent="0.3">
      <c r="A505" s="5">
        <v>1954</v>
      </c>
      <c r="B505" s="5" t="s">
        <v>34</v>
      </c>
      <c r="C505" s="5" t="s">
        <v>35</v>
      </c>
      <c r="D505" s="5" t="s">
        <v>36</v>
      </c>
      <c r="E505" s="5" t="s">
        <v>42</v>
      </c>
      <c r="F505" s="5" t="s">
        <v>27</v>
      </c>
      <c r="G505" s="5" t="s">
        <v>66</v>
      </c>
      <c r="H505" s="5">
        <v>50</v>
      </c>
      <c r="I505" s="6">
        <v>750</v>
      </c>
      <c r="J505" s="6">
        <v>37500</v>
      </c>
      <c r="K505" s="5">
        <v>0</v>
      </c>
      <c r="L505" s="6">
        <v>37500</v>
      </c>
      <c r="M505" s="6">
        <v>21664.2</v>
      </c>
      <c r="N505" s="6">
        <v>15835.8</v>
      </c>
      <c r="O505" s="7">
        <v>42.23</v>
      </c>
      <c r="P505" s="5" t="s">
        <v>50</v>
      </c>
    </row>
    <row r="506" spans="1:16" x14ac:dyDescent="0.3">
      <c r="A506" s="2">
        <v>1308</v>
      </c>
      <c r="B506" s="2" t="s">
        <v>57</v>
      </c>
      <c r="C506" s="2" t="s">
        <v>58</v>
      </c>
      <c r="D506" s="2" t="s">
        <v>56</v>
      </c>
      <c r="E506" s="2" t="s">
        <v>26</v>
      </c>
      <c r="F506" s="2" t="s">
        <v>37</v>
      </c>
      <c r="G506" s="2" t="s">
        <v>38</v>
      </c>
      <c r="H506" s="2">
        <v>117</v>
      </c>
      <c r="I506" s="3">
        <v>2084</v>
      </c>
      <c r="J506" s="3">
        <v>243828</v>
      </c>
      <c r="K506" s="2">
        <v>5</v>
      </c>
      <c r="L506" s="3">
        <v>231636.6</v>
      </c>
      <c r="M506" s="3">
        <v>158369.89000000001</v>
      </c>
      <c r="N506" s="3">
        <v>73266.710000000006</v>
      </c>
      <c r="O506" s="4">
        <v>31.63</v>
      </c>
      <c r="P506" s="2" t="s">
        <v>61</v>
      </c>
    </row>
    <row r="507" spans="1:16" x14ac:dyDescent="0.3">
      <c r="A507" s="5">
        <v>1790</v>
      </c>
      <c r="B507" s="5" t="s">
        <v>30</v>
      </c>
      <c r="C507" s="5" t="s">
        <v>31</v>
      </c>
      <c r="D507" s="5" t="s">
        <v>18</v>
      </c>
      <c r="E507" s="5" t="s">
        <v>44</v>
      </c>
      <c r="F507" s="5" t="s">
        <v>32</v>
      </c>
      <c r="G507" s="5" t="s">
        <v>65</v>
      </c>
      <c r="H507" s="5">
        <v>96</v>
      </c>
      <c r="I507" s="6">
        <v>4870</v>
      </c>
      <c r="J507" s="6">
        <v>467520</v>
      </c>
      <c r="K507" s="5">
        <v>0</v>
      </c>
      <c r="L507" s="6">
        <v>467520</v>
      </c>
      <c r="M507" s="6">
        <v>306060.28999999998</v>
      </c>
      <c r="N507" s="6">
        <v>161459.71</v>
      </c>
      <c r="O507" s="7">
        <v>34.54</v>
      </c>
      <c r="P507" s="5" t="s">
        <v>22</v>
      </c>
    </row>
    <row r="508" spans="1:16" x14ac:dyDescent="0.3">
      <c r="A508" s="2">
        <v>1082</v>
      </c>
      <c r="B508" s="2" t="s">
        <v>62</v>
      </c>
      <c r="C508" s="2" t="s">
        <v>63</v>
      </c>
      <c r="D508" s="2" t="s">
        <v>25</v>
      </c>
      <c r="E508" s="2" t="s">
        <v>44</v>
      </c>
      <c r="F508" s="2" t="s">
        <v>37</v>
      </c>
      <c r="G508" s="2" t="s">
        <v>79</v>
      </c>
      <c r="H508" s="2">
        <v>85</v>
      </c>
      <c r="I508" s="3">
        <v>1134</v>
      </c>
      <c r="J508" s="3">
        <v>96390</v>
      </c>
      <c r="K508" s="2">
        <v>5</v>
      </c>
      <c r="L508" s="3">
        <v>91570.5</v>
      </c>
      <c r="M508" s="3">
        <v>52387.77</v>
      </c>
      <c r="N508" s="3">
        <v>39182.730000000003</v>
      </c>
      <c r="O508" s="4">
        <v>42.79</v>
      </c>
      <c r="P508" s="2" t="s">
        <v>43</v>
      </c>
    </row>
    <row r="509" spans="1:16" x14ac:dyDescent="0.3">
      <c r="A509" s="5">
        <v>1448</v>
      </c>
      <c r="B509" s="5" t="s">
        <v>54</v>
      </c>
      <c r="C509" s="5" t="s">
        <v>55</v>
      </c>
      <c r="D509" s="5" t="s">
        <v>56</v>
      </c>
      <c r="E509" s="5" t="s">
        <v>19</v>
      </c>
      <c r="F509" s="5" t="s">
        <v>48</v>
      </c>
      <c r="G509" s="5" t="s">
        <v>49</v>
      </c>
      <c r="H509" s="5">
        <v>96</v>
      </c>
      <c r="I509" s="6">
        <v>751</v>
      </c>
      <c r="J509" s="6">
        <v>72096</v>
      </c>
      <c r="K509" s="5">
        <v>0</v>
      </c>
      <c r="L509" s="6">
        <v>72096</v>
      </c>
      <c r="M509" s="6">
        <v>41118.04</v>
      </c>
      <c r="N509" s="6">
        <v>30977.96</v>
      </c>
      <c r="O509" s="7">
        <v>42.97</v>
      </c>
      <c r="P509" s="5" t="s">
        <v>43</v>
      </c>
    </row>
    <row r="510" spans="1:16" x14ac:dyDescent="0.3">
      <c r="A510" s="2">
        <v>1666</v>
      </c>
      <c r="B510" s="2" t="s">
        <v>16</v>
      </c>
      <c r="C510" s="2" t="s">
        <v>17</v>
      </c>
      <c r="D510" s="2" t="s">
        <v>18</v>
      </c>
      <c r="E510" s="2" t="s">
        <v>42</v>
      </c>
      <c r="F510" s="2" t="s">
        <v>20</v>
      </c>
      <c r="G510" s="2" t="s">
        <v>64</v>
      </c>
      <c r="H510" s="2">
        <v>43</v>
      </c>
      <c r="I510" s="3">
        <v>208</v>
      </c>
      <c r="J510" s="3">
        <v>8944</v>
      </c>
      <c r="K510" s="2">
        <v>0</v>
      </c>
      <c r="L510" s="3">
        <v>8944</v>
      </c>
      <c r="M510" s="3">
        <v>5422.56</v>
      </c>
      <c r="N510" s="3">
        <v>3521.44</v>
      </c>
      <c r="O510" s="4">
        <v>39.369999999999997</v>
      </c>
      <c r="P510" s="2" t="s">
        <v>50</v>
      </c>
    </row>
    <row r="511" spans="1:16" x14ac:dyDescent="0.3">
      <c r="A511" s="5">
        <v>1878</v>
      </c>
      <c r="B511" s="5" t="s">
        <v>70</v>
      </c>
      <c r="C511" s="5" t="s">
        <v>71</v>
      </c>
      <c r="D511" s="5" t="s">
        <v>18</v>
      </c>
      <c r="E511" s="5" t="s">
        <v>44</v>
      </c>
      <c r="F511" s="5" t="s">
        <v>27</v>
      </c>
      <c r="G511" s="5" t="s">
        <v>83</v>
      </c>
      <c r="H511" s="5">
        <v>148</v>
      </c>
      <c r="I511" s="6">
        <v>4659</v>
      </c>
      <c r="J511" s="6">
        <v>689532</v>
      </c>
      <c r="K511" s="5">
        <v>0</v>
      </c>
      <c r="L511" s="6">
        <v>689532</v>
      </c>
      <c r="M511" s="6">
        <v>456269.31</v>
      </c>
      <c r="N511" s="6">
        <v>233262.69</v>
      </c>
      <c r="O511" s="7">
        <v>33.83</v>
      </c>
      <c r="P511" s="5" t="s">
        <v>29</v>
      </c>
    </row>
    <row r="512" spans="1:16" x14ac:dyDescent="0.3">
      <c r="A512" s="2">
        <v>1982</v>
      </c>
      <c r="B512" s="2" t="s">
        <v>34</v>
      </c>
      <c r="C512" s="2" t="s">
        <v>35</v>
      </c>
      <c r="D512" s="2" t="s">
        <v>36</v>
      </c>
      <c r="E512" s="2" t="s">
        <v>44</v>
      </c>
      <c r="F512" s="2" t="s">
        <v>37</v>
      </c>
      <c r="G512" s="2" t="s">
        <v>79</v>
      </c>
      <c r="H512" s="2">
        <v>75</v>
      </c>
      <c r="I512" s="3">
        <v>1101</v>
      </c>
      <c r="J512" s="3">
        <v>82575</v>
      </c>
      <c r="K512" s="2">
        <v>0</v>
      </c>
      <c r="L512" s="3">
        <v>82575</v>
      </c>
      <c r="M512" s="3">
        <v>50580.78</v>
      </c>
      <c r="N512" s="3">
        <v>31994.22</v>
      </c>
      <c r="O512" s="4">
        <v>38.75</v>
      </c>
      <c r="P512" s="2" t="s">
        <v>61</v>
      </c>
    </row>
    <row r="513" spans="1:16" x14ac:dyDescent="0.3">
      <c r="A513" s="5">
        <v>2117</v>
      </c>
      <c r="B513" s="5" t="s">
        <v>46</v>
      </c>
      <c r="C513" s="5" t="s">
        <v>47</v>
      </c>
      <c r="D513" s="5" t="s">
        <v>36</v>
      </c>
      <c r="E513" s="5" t="s">
        <v>26</v>
      </c>
      <c r="F513" s="5" t="s">
        <v>20</v>
      </c>
      <c r="G513" s="5" t="s">
        <v>80</v>
      </c>
      <c r="H513" s="5">
        <v>86</v>
      </c>
      <c r="I513" s="6">
        <v>82</v>
      </c>
      <c r="J513" s="6">
        <v>7052</v>
      </c>
      <c r="K513" s="5">
        <v>20</v>
      </c>
      <c r="L513" s="6">
        <v>5641.6</v>
      </c>
      <c r="M513" s="6">
        <v>3139.54</v>
      </c>
      <c r="N513" s="6">
        <v>2502.06</v>
      </c>
      <c r="O513" s="7">
        <v>44.35</v>
      </c>
      <c r="P513" s="5" t="s">
        <v>43</v>
      </c>
    </row>
    <row r="514" spans="1:16" x14ac:dyDescent="0.3">
      <c r="A514" s="2">
        <v>1159</v>
      </c>
      <c r="B514" s="2" t="s">
        <v>23</v>
      </c>
      <c r="C514" s="2" t="s">
        <v>24</v>
      </c>
      <c r="D514" s="2" t="s">
        <v>25</v>
      </c>
      <c r="E514" s="2" t="s">
        <v>42</v>
      </c>
      <c r="F514" s="2" t="s">
        <v>37</v>
      </c>
      <c r="G514" s="2" t="s">
        <v>82</v>
      </c>
      <c r="H514" s="2">
        <v>113</v>
      </c>
      <c r="I514" s="3">
        <v>1435</v>
      </c>
      <c r="J514" s="3">
        <v>162155</v>
      </c>
      <c r="K514" s="2">
        <v>5</v>
      </c>
      <c r="L514" s="3">
        <v>154047.25</v>
      </c>
      <c r="M514" s="3">
        <v>104077.62</v>
      </c>
      <c r="N514" s="3">
        <v>49969.63</v>
      </c>
      <c r="O514" s="4">
        <v>32.44</v>
      </c>
      <c r="P514" s="2" t="s">
        <v>39</v>
      </c>
    </row>
    <row r="515" spans="1:16" x14ac:dyDescent="0.3">
      <c r="A515" s="5">
        <v>1739</v>
      </c>
      <c r="B515" s="5" t="s">
        <v>30</v>
      </c>
      <c r="C515" s="5" t="s">
        <v>31</v>
      </c>
      <c r="D515" s="5" t="s">
        <v>18</v>
      </c>
      <c r="E515" s="5" t="s">
        <v>19</v>
      </c>
      <c r="F515" s="5" t="s">
        <v>32</v>
      </c>
      <c r="G515" s="5" t="s">
        <v>33</v>
      </c>
      <c r="H515" s="5">
        <v>134</v>
      </c>
      <c r="I515" s="6">
        <v>9411</v>
      </c>
      <c r="J515" s="6">
        <v>1261074</v>
      </c>
      <c r="K515" s="5">
        <v>15</v>
      </c>
      <c r="L515" s="6">
        <v>1071912.8999999999</v>
      </c>
      <c r="M515" s="6">
        <v>693510.68</v>
      </c>
      <c r="N515" s="6">
        <v>378402.22</v>
      </c>
      <c r="O515" s="7">
        <v>35.299999999999997</v>
      </c>
      <c r="P515" s="5" t="s">
        <v>29</v>
      </c>
    </row>
    <row r="516" spans="1:16" x14ac:dyDescent="0.3">
      <c r="A516" s="2">
        <v>1475</v>
      </c>
      <c r="B516" s="2" t="s">
        <v>54</v>
      </c>
      <c r="C516" s="2" t="s">
        <v>55</v>
      </c>
      <c r="D516" s="2" t="s">
        <v>56</v>
      </c>
      <c r="E516" s="2" t="s">
        <v>42</v>
      </c>
      <c r="F516" s="2" t="s">
        <v>48</v>
      </c>
      <c r="G516" s="2" t="s">
        <v>72</v>
      </c>
      <c r="H516" s="2">
        <v>97</v>
      </c>
      <c r="I516" s="3">
        <v>3597</v>
      </c>
      <c r="J516" s="3">
        <v>348909</v>
      </c>
      <c r="K516" s="2">
        <v>15</v>
      </c>
      <c r="L516" s="3">
        <v>296572.65000000002</v>
      </c>
      <c r="M516" s="3">
        <v>190309.56</v>
      </c>
      <c r="N516" s="3">
        <v>106263.09</v>
      </c>
      <c r="O516" s="4">
        <v>35.83</v>
      </c>
      <c r="P516" s="2" t="s">
        <v>29</v>
      </c>
    </row>
    <row r="517" spans="1:16" x14ac:dyDescent="0.3">
      <c r="A517" s="5">
        <v>1350</v>
      </c>
      <c r="B517" s="5" t="s">
        <v>57</v>
      </c>
      <c r="C517" s="5" t="s">
        <v>58</v>
      </c>
      <c r="D517" s="5" t="s">
        <v>56</v>
      </c>
      <c r="E517" s="5" t="s">
        <v>19</v>
      </c>
      <c r="F517" s="5" t="s">
        <v>48</v>
      </c>
      <c r="G517" s="5" t="s">
        <v>72</v>
      </c>
      <c r="H517" s="5">
        <v>137</v>
      </c>
      <c r="I517" s="6">
        <v>3472</v>
      </c>
      <c r="J517" s="6">
        <v>475664</v>
      </c>
      <c r="K517" s="5">
        <v>10</v>
      </c>
      <c r="L517" s="6">
        <v>428097.6</v>
      </c>
      <c r="M517" s="6">
        <v>270532.42</v>
      </c>
      <c r="N517" s="6">
        <v>157565.18</v>
      </c>
      <c r="O517" s="7">
        <v>36.81</v>
      </c>
      <c r="P517" s="5" t="s">
        <v>50</v>
      </c>
    </row>
    <row r="518" spans="1:16" x14ac:dyDescent="0.3">
      <c r="A518" s="2">
        <v>1623</v>
      </c>
      <c r="B518" s="2" t="s">
        <v>16</v>
      </c>
      <c r="C518" s="2" t="s">
        <v>17</v>
      </c>
      <c r="D518" s="2" t="s">
        <v>18</v>
      </c>
      <c r="E518" s="2" t="s">
        <v>26</v>
      </c>
      <c r="F518" s="2" t="s">
        <v>48</v>
      </c>
      <c r="G518" s="2" t="s">
        <v>49</v>
      </c>
      <c r="H518" s="2">
        <v>28</v>
      </c>
      <c r="I518" s="3">
        <v>851</v>
      </c>
      <c r="J518" s="3">
        <v>23828</v>
      </c>
      <c r="K518" s="2">
        <v>5</v>
      </c>
      <c r="L518" s="3">
        <v>22636.6</v>
      </c>
      <c r="M518" s="3">
        <v>13505.96</v>
      </c>
      <c r="N518" s="3">
        <v>9130.64</v>
      </c>
      <c r="O518" s="4">
        <v>40.340000000000003</v>
      </c>
      <c r="P518" s="2" t="s">
        <v>39</v>
      </c>
    </row>
    <row r="519" spans="1:16" x14ac:dyDescent="0.3">
      <c r="A519" s="5">
        <v>1698</v>
      </c>
      <c r="B519" s="5" t="s">
        <v>16</v>
      </c>
      <c r="C519" s="5" t="s">
        <v>17</v>
      </c>
      <c r="D519" s="5" t="s">
        <v>18</v>
      </c>
      <c r="E519" s="5" t="s">
        <v>44</v>
      </c>
      <c r="F519" s="5" t="s">
        <v>48</v>
      </c>
      <c r="G519" s="5" t="s">
        <v>49</v>
      </c>
      <c r="H519" s="5">
        <v>146</v>
      </c>
      <c r="I519" s="6">
        <v>851</v>
      </c>
      <c r="J519" s="6">
        <v>124246</v>
      </c>
      <c r="K519" s="5">
        <v>20</v>
      </c>
      <c r="L519" s="6">
        <v>99396.800000000003</v>
      </c>
      <c r="M519" s="6">
        <v>59617.79</v>
      </c>
      <c r="N519" s="6">
        <v>39779.01</v>
      </c>
      <c r="O519" s="7">
        <v>40.020000000000003</v>
      </c>
      <c r="P519" s="5" t="s">
        <v>39</v>
      </c>
    </row>
    <row r="520" spans="1:16" x14ac:dyDescent="0.3">
      <c r="A520" s="2">
        <v>2046</v>
      </c>
      <c r="B520" s="2" t="s">
        <v>76</v>
      </c>
      <c r="C520" s="2" t="s">
        <v>77</v>
      </c>
      <c r="D520" s="2" t="s">
        <v>36</v>
      </c>
      <c r="E520" s="2" t="s">
        <v>19</v>
      </c>
      <c r="F520" s="2" t="s">
        <v>48</v>
      </c>
      <c r="G520" s="2" t="s">
        <v>69</v>
      </c>
      <c r="H520" s="2">
        <v>134</v>
      </c>
      <c r="I520" s="3">
        <v>1189</v>
      </c>
      <c r="J520" s="3">
        <v>159326</v>
      </c>
      <c r="K520" s="2">
        <v>15</v>
      </c>
      <c r="L520" s="3">
        <v>135427.1</v>
      </c>
      <c r="M520" s="3">
        <v>85699.29</v>
      </c>
      <c r="N520" s="3">
        <v>49727.81</v>
      </c>
      <c r="O520" s="4">
        <v>36.72</v>
      </c>
      <c r="P520" s="2" t="s">
        <v>39</v>
      </c>
    </row>
    <row r="521" spans="1:16" x14ac:dyDescent="0.3">
      <c r="A521" s="5">
        <v>1445</v>
      </c>
      <c r="B521" s="5" t="s">
        <v>54</v>
      </c>
      <c r="C521" s="5" t="s">
        <v>55</v>
      </c>
      <c r="D521" s="5" t="s">
        <v>56</v>
      </c>
      <c r="E521" s="5" t="s">
        <v>19</v>
      </c>
      <c r="F521" s="5" t="s">
        <v>20</v>
      </c>
      <c r="G521" s="5" t="s">
        <v>60</v>
      </c>
      <c r="H521" s="5">
        <v>108</v>
      </c>
      <c r="I521" s="6">
        <v>84</v>
      </c>
      <c r="J521" s="6">
        <v>9072</v>
      </c>
      <c r="K521" s="5">
        <v>5</v>
      </c>
      <c r="L521" s="6">
        <v>8618.4</v>
      </c>
      <c r="M521" s="6">
        <v>5129.41</v>
      </c>
      <c r="N521" s="6">
        <v>3488.99</v>
      </c>
      <c r="O521" s="7">
        <v>40.479999999999997</v>
      </c>
      <c r="P521" s="5" t="s">
        <v>39</v>
      </c>
    </row>
    <row r="522" spans="1:16" x14ac:dyDescent="0.3">
      <c r="A522" s="2">
        <v>1191</v>
      </c>
      <c r="B522" s="2" t="s">
        <v>23</v>
      </c>
      <c r="C522" s="2" t="s">
        <v>24</v>
      </c>
      <c r="D522" s="2" t="s">
        <v>25</v>
      </c>
      <c r="E522" s="2" t="s">
        <v>44</v>
      </c>
      <c r="F522" s="2" t="s">
        <v>20</v>
      </c>
      <c r="G522" s="2" t="s">
        <v>64</v>
      </c>
      <c r="H522" s="2">
        <v>69</v>
      </c>
      <c r="I522" s="3">
        <v>205</v>
      </c>
      <c r="J522" s="3">
        <v>14145</v>
      </c>
      <c r="K522" s="2">
        <v>10</v>
      </c>
      <c r="L522" s="3">
        <v>12730.5</v>
      </c>
      <c r="M522" s="3">
        <v>8749.52</v>
      </c>
      <c r="N522" s="3">
        <v>3980.98</v>
      </c>
      <c r="O522" s="4">
        <v>31.27</v>
      </c>
      <c r="P522" s="2" t="s">
        <v>45</v>
      </c>
    </row>
    <row r="523" spans="1:16" x14ac:dyDescent="0.3">
      <c r="A523" s="5">
        <v>1378</v>
      </c>
      <c r="B523" s="5" t="s">
        <v>57</v>
      </c>
      <c r="C523" s="5" t="s">
        <v>58</v>
      </c>
      <c r="D523" s="5" t="s">
        <v>56</v>
      </c>
      <c r="E523" s="5" t="s">
        <v>44</v>
      </c>
      <c r="F523" s="5" t="s">
        <v>27</v>
      </c>
      <c r="G523" s="5" t="s">
        <v>83</v>
      </c>
      <c r="H523" s="5">
        <v>119</v>
      </c>
      <c r="I523" s="6">
        <v>5180</v>
      </c>
      <c r="J523" s="6">
        <v>616420</v>
      </c>
      <c r="K523" s="5">
        <v>0</v>
      </c>
      <c r="L523" s="6">
        <v>616420</v>
      </c>
      <c r="M523" s="6">
        <v>387620.92</v>
      </c>
      <c r="N523" s="6">
        <v>228799.08</v>
      </c>
      <c r="O523" s="7">
        <v>37.119999999999997</v>
      </c>
      <c r="P523" s="5" t="s">
        <v>41</v>
      </c>
    </row>
    <row r="524" spans="1:16" x14ac:dyDescent="0.3">
      <c r="A524" s="2">
        <v>1839</v>
      </c>
      <c r="B524" s="2" t="s">
        <v>70</v>
      </c>
      <c r="C524" s="2" t="s">
        <v>71</v>
      </c>
      <c r="D524" s="2" t="s">
        <v>18</v>
      </c>
      <c r="E524" s="2" t="s">
        <v>19</v>
      </c>
      <c r="F524" s="2" t="s">
        <v>32</v>
      </c>
      <c r="G524" s="2" t="s">
        <v>33</v>
      </c>
      <c r="H524" s="2">
        <v>78</v>
      </c>
      <c r="I524" s="3">
        <v>9669</v>
      </c>
      <c r="J524" s="3">
        <v>754182</v>
      </c>
      <c r="K524" s="2">
        <v>10</v>
      </c>
      <c r="L524" s="3">
        <v>678763.8</v>
      </c>
      <c r="M524" s="3">
        <v>410004.55</v>
      </c>
      <c r="N524" s="3">
        <v>268759.25</v>
      </c>
      <c r="O524" s="4">
        <v>39.6</v>
      </c>
      <c r="P524" s="2" t="s">
        <v>50</v>
      </c>
    </row>
    <row r="525" spans="1:16" x14ac:dyDescent="0.3">
      <c r="A525" s="5">
        <v>1865</v>
      </c>
      <c r="B525" s="5" t="s">
        <v>70</v>
      </c>
      <c r="C525" s="5" t="s">
        <v>71</v>
      </c>
      <c r="D525" s="5" t="s">
        <v>18</v>
      </c>
      <c r="E525" s="5" t="s">
        <v>42</v>
      </c>
      <c r="F525" s="5" t="s">
        <v>32</v>
      </c>
      <c r="G525" s="5" t="s">
        <v>65</v>
      </c>
      <c r="H525" s="5">
        <v>82</v>
      </c>
      <c r="I525" s="6">
        <v>4740</v>
      </c>
      <c r="J525" s="6">
        <v>388680</v>
      </c>
      <c r="K525" s="5">
        <v>5</v>
      </c>
      <c r="L525" s="6">
        <v>369246</v>
      </c>
      <c r="M525" s="6">
        <v>218852.67</v>
      </c>
      <c r="N525" s="6">
        <v>150393.32999999999</v>
      </c>
      <c r="O525" s="7">
        <v>40.729999999999997</v>
      </c>
      <c r="P525" s="5" t="s">
        <v>50</v>
      </c>
    </row>
    <row r="526" spans="1:16" x14ac:dyDescent="0.3">
      <c r="A526" s="2">
        <v>2127</v>
      </c>
      <c r="B526" s="2" t="s">
        <v>46</v>
      </c>
      <c r="C526" s="2" t="s">
        <v>47</v>
      </c>
      <c r="D526" s="2" t="s">
        <v>36</v>
      </c>
      <c r="E526" s="2" t="s">
        <v>19</v>
      </c>
      <c r="F526" s="2" t="s">
        <v>27</v>
      </c>
      <c r="G526" s="2" t="s">
        <v>28</v>
      </c>
      <c r="H526" s="2">
        <v>192</v>
      </c>
      <c r="I526" s="3">
        <v>8166</v>
      </c>
      <c r="J526" s="3">
        <v>1567872</v>
      </c>
      <c r="K526" s="2">
        <v>0</v>
      </c>
      <c r="L526" s="3">
        <v>1567872</v>
      </c>
      <c r="M526" s="3">
        <v>998292.66</v>
      </c>
      <c r="N526" s="3">
        <v>569579.34</v>
      </c>
      <c r="O526" s="4">
        <v>36.33</v>
      </c>
      <c r="P526" s="2" t="s">
        <v>45</v>
      </c>
    </row>
    <row r="527" spans="1:16" x14ac:dyDescent="0.3">
      <c r="A527" s="5">
        <v>1275</v>
      </c>
      <c r="B527" s="5" t="s">
        <v>52</v>
      </c>
      <c r="C527" s="5" t="s">
        <v>53</v>
      </c>
      <c r="D527" s="5" t="s">
        <v>25</v>
      </c>
      <c r="E527" s="5" t="s">
        <v>42</v>
      </c>
      <c r="F527" s="5" t="s">
        <v>48</v>
      </c>
      <c r="G527" s="5" t="s">
        <v>72</v>
      </c>
      <c r="H527" s="5">
        <v>131</v>
      </c>
      <c r="I527" s="6">
        <v>3481</v>
      </c>
      <c r="J527" s="6">
        <v>456011</v>
      </c>
      <c r="K527" s="5">
        <v>0</v>
      </c>
      <c r="L527" s="6">
        <v>456011</v>
      </c>
      <c r="M527" s="6">
        <v>302712.03999999998</v>
      </c>
      <c r="N527" s="6">
        <v>153298.96</v>
      </c>
      <c r="O527" s="7">
        <v>33.619999999999997</v>
      </c>
      <c r="P527" s="5" t="s">
        <v>39</v>
      </c>
    </row>
    <row r="528" spans="1:16" x14ac:dyDescent="0.3">
      <c r="A528" s="2">
        <v>1488</v>
      </c>
      <c r="B528" s="2" t="s">
        <v>54</v>
      </c>
      <c r="C528" s="2" t="s">
        <v>55</v>
      </c>
      <c r="D528" s="2" t="s">
        <v>56</v>
      </c>
      <c r="E528" s="2" t="s">
        <v>44</v>
      </c>
      <c r="F528" s="2" t="s">
        <v>32</v>
      </c>
      <c r="G528" s="2" t="s">
        <v>81</v>
      </c>
      <c r="H528" s="2">
        <v>121</v>
      </c>
      <c r="I528" s="3">
        <v>14430</v>
      </c>
      <c r="J528" s="3">
        <v>1746030</v>
      </c>
      <c r="K528" s="2">
        <v>5</v>
      </c>
      <c r="L528" s="3">
        <v>1658728.5</v>
      </c>
      <c r="M528" s="3">
        <v>986373.42</v>
      </c>
      <c r="N528" s="3">
        <v>672355.08</v>
      </c>
      <c r="O528" s="4">
        <v>40.53</v>
      </c>
      <c r="P528" s="2" t="s">
        <v>43</v>
      </c>
    </row>
    <row r="529" spans="1:16" x14ac:dyDescent="0.3">
      <c r="A529" s="5">
        <v>1553</v>
      </c>
      <c r="B529" s="5" t="s">
        <v>73</v>
      </c>
      <c r="C529" s="5" t="s">
        <v>74</v>
      </c>
      <c r="D529" s="5" t="s">
        <v>56</v>
      </c>
      <c r="E529" s="5" t="s">
        <v>42</v>
      </c>
      <c r="F529" s="5" t="s">
        <v>27</v>
      </c>
      <c r="G529" s="5" t="s">
        <v>83</v>
      </c>
      <c r="H529" s="5">
        <v>128</v>
      </c>
      <c r="I529" s="6">
        <v>5235</v>
      </c>
      <c r="J529" s="6">
        <v>670080</v>
      </c>
      <c r="K529" s="5">
        <v>10</v>
      </c>
      <c r="L529" s="6">
        <v>603072</v>
      </c>
      <c r="M529" s="6">
        <v>372646.44</v>
      </c>
      <c r="N529" s="6">
        <v>230425.56</v>
      </c>
      <c r="O529" s="7">
        <v>38.21</v>
      </c>
      <c r="P529" s="5" t="s">
        <v>45</v>
      </c>
    </row>
    <row r="530" spans="1:16" x14ac:dyDescent="0.3">
      <c r="A530" s="2">
        <v>1457</v>
      </c>
      <c r="B530" s="2" t="s">
        <v>54</v>
      </c>
      <c r="C530" s="2" t="s">
        <v>55</v>
      </c>
      <c r="D530" s="2" t="s">
        <v>56</v>
      </c>
      <c r="E530" s="2" t="s">
        <v>42</v>
      </c>
      <c r="F530" s="2" t="s">
        <v>37</v>
      </c>
      <c r="G530" s="2" t="s">
        <v>79</v>
      </c>
      <c r="H530" s="2">
        <v>112</v>
      </c>
      <c r="I530" s="3">
        <v>1138</v>
      </c>
      <c r="J530" s="3">
        <v>127456</v>
      </c>
      <c r="K530" s="2">
        <v>0</v>
      </c>
      <c r="L530" s="3">
        <v>127456</v>
      </c>
      <c r="M530" s="3">
        <v>83774.98</v>
      </c>
      <c r="N530" s="3">
        <v>43681.02</v>
      </c>
      <c r="O530" s="4">
        <v>34.270000000000003</v>
      </c>
      <c r="P530" s="2" t="s">
        <v>22</v>
      </c>
    </row>
    <row r="531" spans="1:16" x14ac:dyDescent="0.3">
      <c r="A531" s="5">
        <v>1502</v>
      </c>
      <c r="B531" s="5" t="s">
        <v>73</v>
      </c>
      <c r="C531" s="5" t="s">
        <v>74</v>
      </c>
      <c r="D531" s="5" t="s">
        <v>56</v>
      </c>
      <c r="E531" s="5" t="s">
        <v>26</v>
      </c>
      <c r="F531" s="5" t="s">
        <v>27</v>
      </c>
      <c r="G531" s="5" t="s">
        <v>28</v>
      </c>
      <c r="H531" s="5">
        <v>77</v>
      </c>
      <c r="I531" s="6">
        <v>8125</v>
      </c>
      <c r="J531" s="6">
        <v>625625</v>
      </c>
      <c r="K531" s="5">
        <v>20</v>
      </c>
      <c r="L531" s="6">
        <v>500500</v>
      </c>
      <c r="M531" s="6">
        <v>334456.90000000002</v>
      </c>
      <c r="N531" s="6">
        <v>166043.1</v>
      </c>
      <c r="O531" s="7">
        <v>33.18</v>
      </c>
      <c r="P531" s="5" t="s">
        <v>43</v>
      </c>
    </row>
    <row r="532" spans="1:16" x14ac:dyDescent="0.3">
      <c r="A532" s="2">
        <v>1810</v>
      </c>
      <c r="B532" s="2" t="s">
        <v>70</v>
      </c>
      <c r="C532" s="2" t="s">
        <v>71</v>
      </c>
      <c r="D532" s="2" t="s">
        <v>18</v>
      </c>
      <c r="E532" s="2" t="s">
        <v>26</v>
      </c>
      <c r="F532" s="2" t="s">
        <v>37</v>
      </c>
      <c r="G532" s="2" t="s">
        <v>67</v>
      </c>
      <c r="H532" s="2">
        <v>123</v>
      </c>
      <c r="I532" s="3">
        <v>1766</v>
      </c>
      <c r="J532" s="3">
        <v>217218</v>
      </c>
      <c r="K532" s="2">
        <v>5</v>
      </c>
      <c r="L532" s="3">
        <v>206357.1</v>
      </c>
      <c r="M532" s="3">
        <v>129522.39</v>
      </c>
      <c r="N532" s="3">
        <v>76834.710000000006</v>
      </c>
      <c r="O532" s="4">
        <v>37.229999999999997</v>
      </c>
      <c r="P532" s="2" t="s">
        <v>29</v>
      </c>
    </row>
    <row r="533" spans="1:16" x14ac:dyDescent="0.3">
      <c r="A533" s="5">
        <v>1525</v>
      </c>
      <c r="B533" s="5" t="s">
        <v>73</v>
      </c>
      <c r="C533" s="5" t="s">
        <v>74</v>
      </c>
      <c r="D533" s="5" t="s">
        <v>56</v>
      </c>
      <c r="E533" s="5" t="s">
        <v>26</v>
      </c>
      <c r="F533" s="5" t="s">
        <v>48</v>
      </c>
      <c r="G533" s="5" t="s">
        <v>72</v>
      </c>
      <c r="H533" s="5">
        <v>103</v>
      </c>
      <c r="I533" s="6">
        <v>3590</v>
      </c>
      <c r="J533" s="6">
        <v>369770</v>
      </c>
      <c r="K533" s="5">
        <v>15</v>
      </c>
      <c r="L533" s="6">
        <v>314304.5</v>
      </c>
      <c r="M533" s="6">
        <v>192837.22</v>
      </c>
      <c r="N533" s="6">
        <v>121467.28</v>
      </c>
      <c r="O533" s="7">
        <v>38.65</v>
      </c>
      <c r="P533" s="5" t="s">
        <v>22</v>
      </c>
    </row>
    <row r="534" spans="1:16" x14ac:dyDescent="0.3">
      <c r="A534" s="2">
        <v>2130</v>
      </c>
      <c r="B534" s="2" t="s">
        <v>46</v>
      </c>
      <c r="C534" s="2" t="s">
        <v>47</v>
      </c>
      <c r="D534" s="2" t="s">
        <v>36</v>
      </c>
      <c r="E534" s="2" t="s">
        <v>19</v>
      </c>
      <c r="F534" s="2" t="s">
        <v>27</v>
      </c>
      <c r="G534" s="2" t="s">
        <v>84</v>
      </c>
      <c r="H534" s="2">
        <v>164</v>
      </c>
      <c r="I534" s="3">
        <v>14240</v>
      </c>
      <c r="J534" s="3">
        <v>2335360</v>
      </c>
      <c r="K534" s="2">
        <v>10</v>
      </c>
      <c r="L534" s="3">
        <v>2101824</v>
      </c>
      <c r="M534" s="3">
        <v>1292910.3600000001</v>
      </c>
      <c r="N534" s="3">
        <v>808913.64</v>
      </c>
      <c r="O534" s="4">
        <v>38.49</v>
      </c>
      <c r="P534" s="2" t="s">
        <v>45</v>
      </c>
    </row>
    <row r="535" spans="1:16" x14ac:dyDescent="0.3">
      <c r="A535" s="5">
        <v>1099</v>
      </c>
      <c r="B535" s="5" t="s">
        <v>62</v>
      </c>
      <c r="C535" s="5" t="s">
        <v>63</v>
      </c>
      <c r="D535" s="5" t="s">
        <v>25</v>
      </c>
      <c r="E535" s="5" t="s">
        <v>44</v>
      </c>
      <c r="F535" s="5" t="s">
        <v>48</v>
      </c>
      <c r="G535" s="5" t="s">
        <v>51</v>
      </c>
      <c r="H535" s="5">
        <v>117</v>
      </c>
      <c r="I535" s="6">
        <v>2014</v>
      </c>
      <c r="J535" s="6">
        <v>235638</v>
      </c>
      <c r="K535" s="5">
        <v>15</v>
      </c>
      <c r="L535" s="6">
        <v>200292.3</v>
      </c>
      <c r="M535" s="6">
        <v>127943.5</v>
      </c>
      <c r="N535" s="6">
        <v>72348.800000000003</v>
      </c>
      <c r="O535" s="7">
        <v>36.119999999999997</v>
      </c>
      <c r="P535" s="5" t="s">
        <v>43</v>
      </c>
    </row>
    <row r="536" spans="1:16" x14ac:dyDescent="0.3">
      <c r="A536" s="5">
        <v>2113</v>
      </c>
      <c r="B536" s="5" t="s">
        <v>46</v>
      </c>
      <c r="C536" s="5" t="s">
        <v>47</v>
      </c>
      <c r="D536" s="5" t="s">
        <v>36</v>
      </c>
      <c r="E536" s="5" t="s">
        <v>26</v>
      </c>
      <c r="F536" s="5" t="s">
        <v>32</v>
      </c>
      <c r="G536" s="5" t="s">
        <v>81</v>
      </c>
      <c r="H536" s="5">
        <v>152</v>
      </c>
      <c r="I536" s="6">
        <v>13137</v>
      </c>
      <c r="J536" s="6">
        <v>1996824</v>
      </c>
      <c r="K536" s="5">
        <v>0</v>
      </c>
      <c r="L536" s="6">
        <v>1996824</v>
      </c>
      <c r="M536" s="6">
        <v>1283634.6299999999</v>
      </c>
      <c r="N536" s="6">
        <v>713189.37</v>
      </c>
      <c r="O536" s="7">
        <v>35.72</v>
      </c>
      <c r="P536" s="5" t="s">
        <v>45</v>
      </c>
    </row>
    <row r="537" spans="1:16" x14ac:dyDescent="0.3">
      <c r="A537" s="2">
        <v>2139</v>
      </c>
      <c r="B537" s="2" t="s">
        <v>46</v>
      </c>
      <c r="C537" s="2" t="s">
        <v>47</v>
      </c>
      <c r="D537" s="2" t="s">
        <v>36</v>
      </c>
      <c r="E537" s="2" t="s">
        <v>19</v>
      </c>
      <c r="F537" s="2" t="s">
        <v>32</v>
      </c>
      <c r="G537" s="2" t="s">
        <v>33</v>
      </c>
      <c r="H537" s="2">
        <v>99</v>
      </c>
      <c r="I537" s="3">
        <v>10382</v>
      </c>
      <c r="J537" s="3">
        <v>1027818</v>
      </c>
      <c r="K537" s="2">
        <v>0</v>
      </c>
      <c r="L537" s="3">
        <v>1027818</v>
      </c>
      <c r="M537" s="3">
        <v>611025.98</v>
      </c>
      <c r="N537" s="3">
        <v>416792.02</v>
      </c>
      <c r="O537" s="4">
        <v>40.549999999999997</v>
      </c>
      <c r="P537" s="2" t="s">
        <v>50</v>
      </c>
    </row>
    <row r="538" spans="1:16" x14ac:dyDescent="0.3">
      <c r="A538" s="5">
        <v>1443</v>
      </c>
      <c r="B538" s="5" t="s">
        <v>54</v>
      </c>
      <c r="C538" s="5" t="s">
        <v>55</v>
      </c>
      <c r="D538" s="5" t="s">
        <v>56</v>
      </c>
      <c r="E538" s="5" t="s">
        <v>19</v>
      </c>
      <c r="F538" s="5" t="s">
        <v>20</v>
      </c>
      <c r="G538" s="5" t="s">
        <v>21</v>
      </c>
      <c r="H538" s="5">
        <v>131</v>
      </c>
      <c r="I538" s="6">
        <v>108</v>
      </c>
      <c r="J538" s="6">
        <v>14148</v>
      </c>
      <c r="K538" s="5">
        <v>15</v>
      </c>
      <c r="L538" s="6">
        <v>12025.8</v>
      </c>
      <c r="M538" s="6">
        <v>7313.73</v>
      </c>
      <c r="N538" s="6">
        <v>4712.07</v>
      </c>
      <c r="O538" s="7">
        <v>39.18</v>
      </c>
      <c r="P538" s="5" t="s">
        <v>29</v>
      </c>
    </row>
    <row r="539" spans="1:16" x14ac:dyDescent="0.3">
      <c r="A539" s="2">
        <v>1917</v>
      </c>
      <c r="B539" s="2" t="s">
        <v>34</v>
      </c>
      <c r="C539" s="2" t="s">
        <v>35</v>
      </c>
      <c r="D539" s="2" t="s">
        <v>36</v>
      </c>
      <c r="E539" s="2" t="s">
        <v>26</v>
      </c>
      <c r="F539" s="2" t="s">
        <v>20</v>
      </c>
      <c r="G539" s="2" t="s">
        <v>80</v>
      </c>
      <c r="H539" s="2">
        <v>32</v>
      </c>
      <c r="I539" s="3">
        <v>85</v>
      </c>
      <c r="J539" s="3">
        <v>2720</v>
      </c>
      <c r="K539" s="2">
        <v>15</v>
      </c>
      <c r="L539" s="3">
        <v>2312</v>
      </c>
      <c r="M539" s="3">
        <v>1298.82</v>
      </c>
      <c r="N539" s="3">
        <v>1013.18</v>
      </c>
      <c r="O539" s="4">
        <v>43.82</v>
      </c>
      <c r="P539" s="2" t="s">
        <v>43</v>
      </c>
    </row>
    <row r="540" spans="1:16" x14ac:dyDescent="0.3">
      <c r="A540" s="5">
        <v>1979</v>
      </c>
      <c r="B540" s="5" t="s">
        <v>34</v>
      </c>
      <c r="C540" s="5" t="s">
        <v>35</v>
      </c>
      <c r="D540" s="5" t="s">
        <v>36</v>
      </c>
      <c r="E540" s="5" t="s">
        <v>44</v>
      </c>
      <c r="F540" s="5" t="s">
        <v>27</v>
      </c>
      <c r="G540" s="5" t="s">
        <v>66</v>
      </c>
      <c r="H540" s="5">
        <v>94</v>
      </c>
      <c r="I540" s="6">
        <v>791</v>
      </c>
      <c r="J540" s="6">
        <v>74354</v>
      </c>
      <c r="K540" s="5">
        <v>0</v>
      </c>
      <c r="L540" s="6">
        <v>74354</v>
      </c>
      <c r="M540" s="6">
        <v>43624.01</v>
      </c>
      <c r="N540" s="6">
        <v>30729.99</v>
      </c>
      <c r="O540" s="7">
        <v>41.33</v>
      </c>
      <c r="P540" s="5" t="s">
        <v>50</v>
      </c>
    </row>
    <row r="541" spans="1:16" x14ac:dyDescent="0.3">
      <c r="A541" s="2">
        <v>1957</v>
      </c>
      <c r="B541" s="2" t="s">
        <v>34</v>
      </c>
      <c r="C541" s="2" t="s">
        <v>35</v>
      </c>
      <c r="D541" s="2" t="s">
        <v>36</v>
      </c>
      <c r="E541" s="2" t="s">
        <v>42</v>
      </c>
      <c r="F541" s="2" t="s">
        <v>37</v>
      </c>
      <c r="G541" s="2" t="s">
        <v>79</v>
      </c>
      <c r="H541" s="2">
        <v>141</v>
      </c>
      <c r="I541" s="3">
        <v>1170</v>
      </c>
      <c r="J541" s="3">
        <v>164970</v>
      </c>
      <c r="K541" s="2">
        <v>15</v>
      </c>
      <c r="L541" s="3">
        <v>140224.5</v>
      </c>
      <c r="M541" s="3">
        <v>87460.38</v>
      </c>
      <c r="N541" s="3">
        <v>52764.12</v>
      </c>
      <c r="O541" s="4">
        <v>37.630000000000003</v>
      </c>
      <c r="P541" s="2" t="s">
        <v>61</v>
      </c>
    </row>
    <row r="542" spans="1:16" x14ac:dyDescent="0.3">
      <c r="A542" s="5">
        <v>1584</v>
      </c>
      <c r="B542" s="5" t="s">
        <v>73</v>
      </c>
      <c r="C542" s="5" t="s">
        <v>74</v>
      </c>
      <c r="D542" s="5" t="s">
        <v>56</v>
      </c>
      <c r="E542" s="5" t="s">
        <v>44</v>
      </c>
      <c r="F542" s="5" t="s">
        <v>37</v>
      </c>
      <c r="G542" s="5" t="s">
        <v>82</v>
      </c>
      <c r="H542" s="5">
        <v>159</v>
      </c>
      <c r="I542" s="6">
        <v>1462</v>
      </c>
      <c r="J542" s="6">
        <v>232458</v>
      </c>
      <c r="K542" s="5">
        <v>15</v>
      </c>
      <c r="L542" s="6">
        <v>197589.3</v>
      </c>
      <c r="M542" s="6">
        <v>126042.71</v>
      </c>
      <c r="N542" s="6">
        <v>71546.59</v>
      </c>
      <c r="O542" s="7">
        <v>36.21</v>
      </c>
      <c r="P542" s="5" t="s">
        <v>41</v>
      </c>
    </row>
    <row r="543" spans="1:16" x14ac:dyDescent="0.3">
      <c r="A543" s="2">
        <v>1806</v>
      </c>
      <c r="B543" s="2" t="s">
        <v>70</v>
      </c>
      <c r="C543" s="2" t="s">
        <v>71</v>
      </c>
      <c r="D543" s="2" t="s">
        <v>18</v>
      </c>
      <c r="E543" s="2" t="s">
        <v>26</v>
      </c>
      <c r="F543" s="2" t="s">
        <v>37</v>
      </c>
      <c r="G543" s="2" t="s">
        <v>59</v>
      </c>
      <c r="H543" s="2">
        <v>129</v>
      </c>
      <c r="I543" s="3">
        <v>510</v>
      </c>
      <c r="J543" s="3">
        <v>65790</v>
      </c>
      <c r="K543" s="2">
        <v>0</v>
      </c>
      <c r="L543" s="3">
        <v>65790</v>
      </c>
      <c r="M543" s="3">
        <v>42503.21</v>
      </c>
      <c r="N543" s="3">
        <v>23286.79</v>
      </c>
      <c r="O543" s="4">
        <v>35.4</v>
      </c>
      <c r="P543" s="2" t="s">
        <v>39</v>
      </c>
    </row>
    <row r="544" spans="1:16" x14ac:dyDescent="0.3">
      <c r="A544" s="5">
        <v>1413</v>
      </c>
      <c r="B544" s="5" t="s">
        <v>54</v>
      </c>
      <c r="C544" s="5" t="s">
        <v>55</v>
      </c>
      <c r="D544" s="5" t="s">
        <v>56</v>
      </c>
      <c r="E544" s="5" t="s">
        <v>26</v>
      </c>
      <c r="F544" s="5" t="s">
        <v>32</v>
      </c>
      <c r="G544" s="5" t="s">
        <v>81</v>
      </c>
      <c r="H544" s="5">
        <v>160</v>
      </c>
      <c r="I544" s="6">
        <v>13638</v>
      </c>
      <c r="J544" s="6">
        <v>2182080</v>
      </c>
      <c r="K544" s="5">
        <v>15</v>
      </c>
      <c r="L544" s="6">
        <v>1854768</v>
      </c>
      <c r="M544" s="6">
        <v>1032841.13</v>
      </c>
      <c r="N544" s="6">
        <v>821926.87</v>
      </c>
      <c r="O544" s="7">
        <v>44.31</v>
      </c>
      <c r="P544" s="5" t="s">
        <v>45</v>
      </c>
    </row>
    <row r="545" spans="1:16" x14ac:dyDescent="0.3">
      <c r="A545" s="5">
        <v>1167</v>
      </c>
      <c r="B545" s="5" t="s">
        <v>23</v>
      </c>
      <c r="C545" s="5" t="s">
        <v>24</v>
      </c>
      <c r="D545" s="5" t="s">
        <v>25</v>
      </c>
      <c r="E545" s="5" t="s">
        <v>42</v>
      </c>
      <c r="F545" s="5" t="s">
        <v>20</v>
      </c>
      <c r="G545" s="5" t="s">
        <v>80</v>
      </c>
      <c r="H545" s="5">
        <v>57</v>
      </c>
      <c r="I545" s="6">
        <v>83</v>
      </c>
      <c r="J545" s="6">
        <v>4731</v>
      </c>
      <c r="K545" s="5">
        <v>0</v>
      </c>
      <c r="L545" s="6">
        <v>4731</v>
      </c>
      <c r="M545" s="6">
        <v>3206.51</v>
      </c>
      <c r="N545" s="6">
        <v>1524.49</v>
      </c>
      <c r="O545" s="7">
        <v>32.22</v>
      </c>
      <c r="P545" s="5" t="s">
        <v>22</v>
      </c>
    </row>
    <row r="546" spans="1:16" x14ac:dyDescent="0.3">
      <c r="A546" s="2">
        <v>1214</v>
      </c>
      <c r="B546" s="2" t="s">
        <v>52</v>
      </c>
      <c r="C546" s="2" t="s">
        <v>53</v>
      </c>
      <c r="D546" s="2" t="s">
        <v>25</v>
      </c>
      <c r="E546" s="2" t="s">
        <v>26</v>
      </c>
      <c r="F546" s="2" t="s">
        <v>32</v>
      </c>
      <c r="G546" s="2" t="s">
        <v>33</v>
      </c>
      <c r="H546" s="2">
        <v>73</v>
      </c>
      <c r="I546" s="3">
        <v>10655</v>
      </c>
      <c r="J546" s="3">
        <v>777815</v>
      </c>
      <c r="K546" s="2">
        <v>15</v>
      </c>
      <c r="L546" s="3">
        <v>661142.75</v>
      </c>
      <c r="M546" s="3">
        <v>404882.79</v>
      </c>
      <c r="N546" s="3">
        <v>256259.96</v>
      </c>
      <c r="O546" s="4">
        <v>38.76</v>
      </c>
      <c r="P546" s="2" t="s">
        <v>29</v>
      </c>
    </row>
    <row r="547" spans="1:16" x14ac:dyDescent="0.3">
      <c r="A547" s="5">
        <v>1772</v>
      </c>
      <c r="B547" s="5" t="s">
        <v>30</v>
      </c>
      <c r="C547" s="5" t="s">
        <v>31</v>
      </c>
      <c r="D547" s="5" t="s">
        <v>18</v>
      </c>
      <c r="E547" s="5" t="s">
        <v>42</v>
      </c>
      <c r="F547" s="5" t="s">
        <v>48</v>
      </c>
      <c r="G547" s="5" t="s">
        <v>78</v>
      </c>
      <c r="H547" s="5">
        <v>148</v>
      </c>
      <c r="I547" s="6">
        <v>572</v>
      </c>
      <c r="J547" s="6">
        <v>84656</v>
      </c>
      <c r="K547" s="5">
        <v>0</v>
      </c>
      <c r="L547" s="6">
        <v>84656</v>
      </c>
      <c r="M547" s="6">
        <v>51343.77</v>
      </c>
      <c r="N547" s="6">
        <v>33312.230000000003</v>
      </c>
      <c r="O547" s="7">
        <v>39.35</v>
      </c>
      <c r="P547" s="5" t="s">
        <v>22</v>
      </c>
    </row>
    <row r="548" spans="1:16" x14ac:dyDescent="0.3">
      <c r="A548" s="2">
        <v>1664</v>
      </c>
      <c r="B548" s="2" t="s">
        <v>16</v>
      </c>
      <c r="C548" s="2" t="s">
        <v>17</v>
      </c>
      <c r="D548" s="2" t="s">
        <v>18</v>
      </c>
      <c r="E548" s="2" t="s">
        <v>42</v>
      </c>
      <c r="F548" s="2" t="s">
        <v>32</v>
      </c>
      <c r="G548" s="2" t="s">
        <v>33</v>
      </c>
      <c r="H548" s="2">
        <v>172</v>
      </c>
      <c r="I548" s="3">
        <v>10836</v>
      </c>
      <c r="J548" s="3">
        <v>1863792</v>
      </c>
      <c r="K548" s="2">
        <v>15</v>
      </c>
      <c r="L548" s="3">
        <v>1584223.2</v>
      </c>
      <c r="M548" s="3">
        <v>875867.44</v>
      </c>
      <c r="N548" s="3">
        <v>708355.76</v>
      </c>
      <c r="O548" s="4">
        <v>44.71</v>
      </c>
      <c r="P548" s="2" t="s">
        <v>45</v>
      </c>
    </row>
    <row r="549" spans="1:16" x14ac:dyDescent="0.3">
      <c r="A549" s="5">
        <v>1562</v>
      </c>
      <c r="B549" s="5" t="s">
        <v>73</v>
      </c>
      <c r="C549" s="5" t="s">
        <v>74</v>
      </c>
      <c r="D549" s="5" t="s">
        <v>56</v>
      </c>
      <c r="E549" s="5" t="s">
        <v>42</v>
      </c>
      <c r="F549" s="5" t="s">
        <v>32</v>
      </c>
      <c r="G549" s="5" t="s">
        <v>75</v>
      </c>
      <c r="H549" s="5">
        <v>42</v>
      </c>
      <c r="I549" s="6">
        <v>12777</v>
      </c>
      <c r="J549" s="6">
        <v>536634</v>
      </c>
      <c r="K549" s="5">
        <v>10</v>
      </c>
      <c r="L549" s="6">
        <v>482970.6</v>
      </c>
      <c r="M549" s="6">
        <v>315352.17</v>
      </c>
      <c r="N549" s="6">
        <v>167618.43</v>
      </c>
      <c r="O549" s="7">
        <v>34.71</v>
      </c>
      <c r="P549" s="5" t="s">
        <v>29</v>
      </c>
    </row>
    <row r="550" spans="1:16" x14ac:dyDescent="0.3">
      <c r="A550" s="2">
        <v>1920</v>
      </c>
      <c r="B550" s="2" t="s">
        <v>34</v>
      </c>
      <c r="C550" s="2" t="s">
        <v>35</v>
      </c>
      <c r="D550" s="2" t="s">
        <v>36</v>
      </c>
      <c r="E550" s="2" t="s">
        <v>26</v>
      </c>
      <c r="F550" s="2" t="s">
        <v>20</v>
      </c>
      <c r="G550" s="2" t="s">
        <v>60</v>
      </c>
      <c r="H550" s="2">
        <v>35</v>
      </c>
      <c r="I550" s="3">
        <v>90</v>
      </c>
      <c r="J550" s="3">
        <v>3150</v>
      </c>
      <c r="K550" s="2">
        <v>10</v>
      </c>
      <c r="L550" s="3">
        <v>2835</v>
      </c>
      <c r="M550" s="3">
        <v>1788.86</v>
      </c>
      <c r="N550" s="3">
        <v>1046.1400000000001</v>
      </c>
      <c r="O550" s="4">
        <v>36.9</v>
      </c>
      <c r="P550" s="2" t="s">
        <v>61</v>
      </c>
    </row>
    <row r="551" spans="1:16" x14ac:dyDescent="0.3">
      <c r="A551" s="5">
        <v>1183</v>
      </c>
      <c r="B551" s="5" t="s">
        <v>23</v>
      </c>
      <c r="C551" s="5" t="s">
        <v>24</v>
      </c>
      <c r="D551" s="5" t="s">
        <v>25</v>
      </c>
      <c r="E551" s="5" t="s">
        <v>44</v>
      </c>
      <c r="F551" s="5" t="s">
        <v>37</v>
      </c>
      <c r="G551" s="5" t="s">
        <v>38</v>
      </c>
      <c r="H551" s="5">
        <v>20</v>
      </c>
      <c r="I551" s="6">
        <v>1946</v>
      </c>
      <c r="J551" s="6">
        <v>38920</v>
      </c>
      <c r="K551" s="5">
        <v>0</v>
      </c>
      <c r="L551" s="6">
        <v>38920</v>
      </c>
      <c r="M551" s="6">
        <v>21932.2</v>
      </c>
      <c r="N551" s="6">
        <v>16987.8</v>
      </c>
      <c r="O551" s="7">
        <v>43.65</v>
      </c>
      <c r="P551" s="5" t="s">
        <v>50</v>
      </c>
    </row>
    <row r="552" spans="1:16" x14ac:dyDescent="0.3">
      <c r="A552" s="2">
        <v>1867</v>
      </c>
      <c r="B552" s="2" t="s">
        <v>70</v>
      </c>
      <c r="C552" s="2" t="s">
        <v>71</v>
      </c>
      <c r="D552" s="2" t="s">
        <v>18</v>
      </c>
      <c r="E552" s="2" t="s">
        <v>42</v>
      </c>
      <c r="F552" s="2" t="s">
        <v>20</v>
      </c>
      <c r="G552" s="2" t="s">
        <v>80</v>
      </c>
      <c r="H552" s="2">
        <v>113</v>
      </c>
      <c r="I552" s="3">
        <v>82</v>
      </c>
      <c r="J552" s="3">
        <v>9266</v>
      </c>
      <c r="K552" s="2">
        <v>5</v>
      </c>
      <c r="L552" s="3">
        <v>8802.7000000000007</v>
      </c>
      <c r="M552" s="3">
        <v>5766.39</v>
      </c>
      <c r="N552" s="3">
        <v>3036.31</v>
      </c>
      <c r="O552" s="4">
        <v>34.49</v>
      </c>
      <c r="P552" s="2" t="s">
        <v>39</v>
      </c>
    </row>
    <row r="553" spans="1:16" x14ac:dyDescent="0.3">
      <c r="A553" s="5">
        <v>1409</v>
      </c>
      <c r="B553" s="5" t="s">
        <v>54</v>
      </c>
      <c r="C553" s="5" t="s">
        <v>55</v>
      </c>
      <c r="D553" s="5" t="s">
        <v>56</v>
      </c>
      <c r="E553" s="5" t="s">
        <v>26</v>
      </c>
      <c r="F553" s="5" t="s">
        <v>37</v>
      </c>
      <c r="G553" s="5" t="s">
        <v>82</v>
      </c>
      <c r="H553" s="5">
        <v>135</v>
      </c>
      <c r="I553" s="6">
        <v>1576</v>
      </c>
      <c r="J553" s="6">
        <v>212760</v>
      </c>
      <c r="K553" s="5">
        <v>5</v>
      </c>
      <c r="L553" s="6">
        <v>202122</v>
      </c>
      <c r="M553" s="6">
        <v>132257.31</v>
      </c>
      <c r="N553" s="6">
        <v>69864.69</v>
      </c>
      <c r="O553" s="7">
        <v>34.57</v>
      </c>
      <c r="P553" s="5" t="s">
        <v>45</v>
      </c>
    </row>
    <row r="554" spans="1:16" x14ac:dyDescent="0.3">
      <c r="A554" s="2">
        <v>1095</v>
      </c>
      <c r="B554" s="2" t="s">
        <v>62</v>
      </c>
      <c r="C554" s="2" t="s">
        <v>63</v>
      </c>
      <c r="D554" s="2" t="s">
        <v>25</v>
      </c>
      <c r="E554" s="2" t="s">
        <v>44</v>
      </c>
      <c r="F554" s="2" t="s">
        <v>20</v>
      </c>
      <c r="G554" s="2" t="s">
        <v>60</v>
      </c>
      <c r="H554" s="2">
        <v>105</v>
      </c>
      <c r="I554" s="3">
        <v>95</v>
      </c>
      <c r="J554" s="3">
        <v>9975</v>
      </c>
      <c r="K554" s="2">
        <v>15</v>
      </c>
      <c r="L554" s="3">
        <v>8478.75</v>
      </c>
      <c r="M554" s="3">
        <v>5269.94</v>
      </c>
      <c r="N554" s="3">
        <v>3208.81</v>
      </c>
      <c r="O554" s="4">
        <v>37.85</v>
      </c>
      <c r="P554" s="2" t="s">
        <v>41</v>
      </c>
    </row>
    <row r="555" spans="1:16" x14ac:dyDescent="0.3">
      <c r="A555" s="5">
        <v>1680</v>
      </c>
      <c r="B555" s="5" t="s">
        <v>16</v>
      </c>
      <c r="C555" s="5" t="s">
        <v>17</v>
      </c>
      <c r="D555" s="5" t="s">
        <v>18</v>
      </c>
      <c r="E555" s="5" t="s">
        <v>44</v>
      </c>
      <c r="F555" s="5" t="s">
        <v>27</v>
      </c>
      <c r="G555" s="5" t="s">
        <v>84</v>
      </c>
      <c r="H555" s="5">
        <v>150</v>
      </c>
      <c r="I555" s="6">
        <v>16171</v>
      </c>
      <c r="J555" s="6">
        <v>2425650</v>
      </c>
      <c r="K555" s="5">
        <v>0</v>
      </c>
      <c r="L555" s="6">
        <v>2425650</v>
      </c>
      <c r="M555" s="6">
        <v>1644105.11</v>
      </c>
      <c r="N555" s="6">
        <v>781544.89</v>
      </c>
      <c r="O555" s="7">
        <v>32.22</v>
      </c>
      <c r="P555" s="5" t="s">
        <v>61</v>
      </c>
    </row>
    <row r="556" spans="1:16" x14ac:dyDescent="0.3">
      <c r="A556" s="5">
        <v>1073</v>
      </c>
      <c r="B556" s="5" t="s">
        <v>62</v>
      </c>
      <c r="C556" s="5" t="s">
        <v>63</v>
      </c>
      <c r="D556" s="5" t="s">
        <v>25</v>
      </c>
      <c r="E556" s="5" t="s">
        <v>42</v>
      </c>
      <c r="F556" s="5" t="s">
        <v>48</v>
      </c>
      <c r="G556" s="5" t="s">
        <v>49</v>
      </c>
      <c r="H556" s="5">
        <v>58</v>
      </c>
      <c r="I556" s="6">
        <v>812</v>
      </c>
      <c r="J556" s="6">
        <v>47096</v>
      </c>
      <c r="K556" s="5">
        <v>5</v>
      </c>
      <c r="L556" s="6">
        <v>44741.2</v>
      </c>
      <c r="M556" s="6">
        <v>24905.55</v>
      </c>
      <c r="N556" s="6">
        <v>19835.650000000001</v>
      </c>
      <c r="O556" s="7">
        <v>44.33</v>
      </c>
      <c r="P556" s="5" t="s">
        <v>22</v>
      </c>
    </row>
    <row r="557" spans="1:16" x14ac:dyDescent="0.3">
      <c r="A557" s="2">
        <v>1985</v>
      </c>
      <c r="B557" s="2" t="s">
        <v>34</v>
      </c>
      <c r="C557" s="2" t="s">
        <v>35</v>
      </c>
      <c r="D557" s="2" t="s">
        <v>36</v>
      </c>
      <c r="E557" s="2" t="s">
        <v>44</v>
      </c>
      <c r="F557" s="2" t="s">
        <v>37</v>
      </c>
      <c r="G557" s="2" t="s">
        <v>67</v>
      </c>
      <c r="H557" s="2">
        <v>151</v>
      </c>
      <c r="I557" s="3">
        <v>1893</v>
      </c>
      <c r="J557" s="3">
        <v>285843</v>
      </c>
      <c r="K557" s="2">
        <v>0</v>
      </c>
      <c r="L557" s="3">
        <v>285843</v>
      </c>
      <c r="M557" s="3">
        <v>169769.28</v>
      </c>
      <c r="N557" s="3">
        <v>116073.72</v>
      </c>
      <c r="O557" s="4">
        <v>40.61</v>
      </c>
      <c r="P557" s="2" t="s">
        <v>61</v>
      </c>
    </row>
    <row r="558" spans="1:16" x14ac:dyDescent="0.3">
      <c r="A558" s="5">
        <v>1331</v>
      </c>
      <c r="B558" s="5" t="s">
        <v>57</v>
      </c>
      <c r="C558" s="5" t="s">
        <v>58</v>
      </c>
      <c r="D558" s="5" t="s">
        <v>56</v>
      </c>
      <c r="E558" s="5" t="s">
        <v>19</v>
      </c>
      <c r="F558" s="5" t="s">
        <v>37</v>
      </c>
      <c r="G558" s="5" t="s">
        <v>59</v>
      </c>
      <c r="H558" s="5">
        <v>80</v>
      </c>
      <c r="I558" s="6">
        <v>459</v>
      </c>
      <c r="J558" s="6">
        <v>36720</v>
      </c>
      <c r="K558" s="5">
        <v>15</v>
      </c>
      <c r="L558" s="6">
        <v>31212</v>
      </c>
      <c r="M558" s="6">
        <v>19532.990000000002</v>
      </c>
      <c r="N558" s="6">
        <v>11679.01</v>
      </c>
      <c r="O558" s="7">
        <v>37.42</v>
      </c>
      <c r="P558" s="5" t="s">
        <v>45</v>
      </c>
    </row>
    <row r="559" spans="1:16" x14ac:dyDescent="0.3">
      <c r="A559" s="2">
        <v>1650</v>
      </c>
      <c r="B559" s="2" t="s">
        <v>16</v>
      </c>
      <c r="C559" s="2" t="s">
        <v>17</v>
      </c>
      <c r="D559" s="2" t="s">
        <v>18</v>
      </c>
      <c r="E559" s="2" t="s">
        <v>19</v>
      </c>
      <c r="F559" s="2" t="s">
        <v>48</v>
      </c>
      <c r="G559" s="2" t="s">
        <v>72</v>
      </c>
      <c r="H559" s="2">
        <v>81</v>
      </c>
      <c r="I559" s="3">
        <v>3771</v>
      </c>
      <c r="J559" s="3">
        <v>305451</v>
      </c>
      <c r="K559" s="2">
        <v>10</v>
      </c>
      <c r="L559" s="3">
        <v>274905.90000000002</v>
      </c>
      <c r="M559" s="3">
        <v>161942.64000000001</v>
      </c>
      <c r="N559" s="3">
        <v>112963.26</v>
      </c>
      <c r="O559" s="4">
        <v>41.09</v>
      </c>
      <c r="P559" s="2" t="s">
        <v>50</v>
      </c>
    </row>
    <row r="560" spans="1:16" x14ac:dyDescent="0.3">
      <c r="A560" s="5">
        <v>1050</v>
      </c>
      <c r="B560" s="5" t="s">
        <v>62</v>
      </c>
      <c r="C560" s="5" t="s">
        <v>63</v>
      </c>
      <c r="D560" s="5" t="s">
        <v>25</v>
      </c>
      <c r="E560" s="5" t="s">
        <v>19</v>
      </c>
      <c r="F560" s="5" t="s">
        <v>48</v>
      </c>
      <c r="G560" s="5" t="s">
        <v>72</v>
      </c>
      <c r="H560" s="5">
        <v>28</v>
      </c>
      <c r="I560" s="6">
        <v>3602</v>
      </c>
      <c r="J560" s="6">
        <v>100856</v>
      </c>
      <c r="K560" s="5">
        <v>20</v>
      </c>
      <c r="L560" s="6">
        <v>80684.800000000003</v>
      </c>
      <c r="M560" s="6">
        <v>48203.24</v>
      </c>
      <c r="N560" s="6">
        <v>32481.56</v>
      </c>
      <c r="O560" s="7">
        <v>40.26</v>
      </c>
      <c r="P560" s="5" t="s">
        <v>29</v>
      </c>
    </row>
    <row r="561" spans="1:16" x14ac:dyDescent="0.3">
      <c r="A561" s="2">
        <v>1217</v>
      </c>
      <c r="B561" s="2" t="s">
        <v>52</v>
      </c>
      <c r="C561" s="2" t="s">
        <v>53</v>
      </c>
      <c r="D561" s="2" t="s">
        <v>25</v>
      </c>
      <c r="E561" s="2" t="s">
        <v>26</v>
      </c>
      <c r="F561" s="2" t="s">
        <v>20</v>
      </c>
      <c r="G561" s="2" t="s">
        <v>80</v>
      </c>
      <c r="H561" s="2">
        <v>75</v>
      </c>
      <c r="I561" s="3">
        <v>84</v>
      </c>
      <c r="J561" s="3">
        <v>6300</v>
      </c>
      <c r="K561" s="2">
        <v>10</v>
      </c>
      <c r="L561" s="3">
        <v>5670</v>
      </c>
      <c r="M561" s="3">
        <v>3808.91</v>
      </c>
      <c r="N561" s="3">
        <v>1861.09</v>
      </c>
      <c r="O561" s="4">
        <v>32.82</v>
      </c>
      <c r="P561" s="2" t="s">
        <v>43</v>
      </c>
    </row>
    <row r="562" spans="1:16" x14ac:dyDescent="0.3">
      <c r="A562" s="2">
        <v>1333</v>
      </c>
      <c r="B562" s="2" t="s">
        <v>57</v>
      </c>
      <c r="C562" s="2" t="s">
        <v>58</v>
      </c>
      <c r="D562" s="2" t="s">
        <v>56</v>
      </c>
      <c r="E562" s="2" t="s">
        <v>19</v>
      </c>
      <c r="F562" s="2" t="s">
        <v>37</v>
      </c>
      <c r="G562" s="2" t="s">
        <v>38</v>
      </c>
      <c r="H562" s="2">
        <v>54</v>
      </c>
      <c r="I562" s="3">
        <v>1803</v>
      </c>
      <c r="J562" s="3">
        <v>97362</v>
      </c>
      <c r="K562" s="2">
        <v>0</v>
      </c>
      <c r="L562" s="3">
        <v>97362</v>
      </c>
      <c r="M562" s="3">
        <v>59842.5</v>
      </c>
      <c r="N562" s="3">
        <v>37519.5</v>
      </c>
      <c r="O562" s="4">
        <v>38.54</v>
      </c>
      <c r="P562" s="2" t="s">
        <v>50</v>
      </c>
    </row>
    <row r="563" spans="1:16" x14ac:dyDescent="0.3">
      <c r="A563" s="5">
        <v>1464</v>
      </c>
      <c r="B563" s="5" t="s">
        <v>54</v>
      </c>
      <c r="C563" s="5" t="s">
        <v>55</v>
      </c>
      <c r="D563" s="5" t="s">
        <v>56</v>
      </c>
      <c r="E563" s="5" t="s">
        <v>42</v>
      </c>
      <c r="F563" s="5" t="s">
        <v>32</v>
      </c>
      <c r="G563" s="5" t="s">
        <v>33</v>
      </c>
      <c r="H563" s="5">
        <v>88</v>
      </c>
      <c r="I563" s="6">
        <v>10359</v>
      </c>
      <c r="J563" s="6">
        <v>911592</v>
      </c>
      <c r="K563" s="5">
        <v>0</v>
      </c>
      <c r="L563" s="6">
        <v>911592</v>
      </c>
      <c r="M563" s="6">
        <v>548546.03</v>
      </c>
      <c r="N563" s="6">
        <v>363045.97</v>
      </c>
      <c r="O563" s="7">
        <v>39.83</v>
      </c>
      <c r="P563" s="5" t="s">
        <v>43</v>
      </c>
    </row>
    <row r="564" spans="1:16" x14ac:dyDescent="0.3">
      <c r="A564" s="2">
        <v>1045</v>
      </c>
      <c r="B564" s="2" t="s">
        <v>62</v>
      </c>
      <c r="C564" s="2" t="s">
        <v>63</v>
      </c>
      <c r="D564" s="2" t="s">
        <v>25</v>
      </c>
      <c r="E564" s="2" t="s">
        <v>19</v>
      </c>
      <c r="F564" s="2" t="s">
        <v>20</v>
      </c>
      <c r="G564" s="2" t="s">
        <v>60</v>
      </c>
      <c r="H564" s="2">
        <v>89</v>
      </c>
      <c r="I564" s="3">
        <v>82</v>
      </c>
      <c r="J564" s="3">
        <v>7298</v>
      </c>
      <c r="K564" s="2">
        <v>20</v>
      </c>
      <c r="L564" s="3">
        <v>5838.4</v>
      </c>
      <c r="M564" s="3">
        <v>3651.5</v>
      </c>
      <c r="N564" s="3">
        <v>2186.9</v>
      </c>
      <c r="O564" s="4">
        <v>37.46</v>
      </c>
      <c r="P564" s="2" t="s">
        <v>61</v>
      </c>
    </row>
    <row r="565" spans="1:16" x14ac:dyDescent="0.3">
      <c r="A565" s="5">
        <v>1939</v>
      </c>
      <c r="B565" s="5" t="s">
        <v>34</v>
      </c>
      <c r="C565" s="5" t="s">
        <v>35</v>
      </c>
      <c r="D565" s="5" t="s">
        <v>36</v>
      </c>
      <c r="E565" s="5" t="s">
        <v>19</v>
      </c>
      <c r="F565" s="5" t="s">
        <v>32</v>
      </c>
      <c r="G565" s="5" t="s">
        <v>33</v>
      </c>
      <c r="H565" s="5">
        <v>66</v>
      </c>
      <c r="I565" s="6">
        <v>10767</v>
      </c>
      <c r="J565" s="6">
        <v>710622</v>
      </c>
      <c r="K565" s="5">
        <v>15</v>
      </c>
      <c r="L565" s="6">
        <v>604028.69999999995</v>
      </c>
      <c r="M565" s="6">
        <v>353160.66</v>
      </c>
      <c r="N565" s="6">
        <v>250868.04</v>
      </c>
      <c r="O565" s="7">
        <v>41.53</v>
      </c>
      <c r="P565" s="5" t="s">
        <v>22</v>
      </c>
    </row>
    <row r="566" spans="1:16" x14ac:dyDescent="0.3">
      <c r="A566" s="2">
        <v>1684</v>
      </c>
      <c r="B566" s="2" t="s">
        <v>16</v>
      </c>
      <c r="C566" s="2" t="s">
        <v>17</v>
      </c>
      <c r="D566" s="2" t="s">
        <v>18</v>
      </c>
      <c r="E566" s="2" t="s">
        <v>44</v>
      </c>
      <c r="F566" s="2" t="s">
        <v>37</v>
      </c>
      <c r="G566" s="2" t="s">
        <v>82</v>
      </c>
      <c r="H566" s="2">
        <v>39</v>
      </c>
      <c r="I566" s="3">
        <v>1559</v>
      </c>
      <c r="J566" s="3">
        <v>60801</v>
      </c>
      <c r="K566" s="2">
        <v>0</v>
      </c>
      <c r="L566" s="3">
        <v>60801</v>
      </c>
      <c r="M566" s="3">
        <v>42392.61</v>
      </c>
      <c r="N566" s="3">
        <v>18408.39</v>
      </c>
      <c r="O566" s="4">
        <v>30.28</v>
      </c>
      <c r="P566" s="2" t="s">
        <v>61</v>
      </c>
    </row>
    <row r="567" spans="1:16" x14ac:dyDescent="0.3">
      <c r="A567" s="5">
        <v>2154</v>
      </c>
      <c r="B567" s="5" t="s">
        <v>46</v>
      </c>
      <c r="C567" s="5" t="s">
        <v>47</v>
      </c>
      <c r="D567" s="5" t="s">
        <v>36</v>
      </c>
      <c r="E567" s="5" t="s">
        <v>42</v>
      </c>
      <c r="F567" s="5" t="s">
        <v>27</v>
      </c>
      <c r="G567" s="5" t="s">
        <v>66</v>
      </c>
      <c r="H567" s="5">
        <v>165</v>
      </c>
      <c r="I567" s="6">
        <v>846</v>
      </c>
      <c r="J567" s="6">
        <v>139590</v>
      </c>
      <c r="K567" s="5">
        <v>20</v>
      </c>
      <c r="L567" s="6">
        <v>111672</v>
      </c>
      <c r="M567" s="6">
        <v>71358.81</v>
      </c>
      <c r="N567" s="6">
        <v>40313.19</v>
      </c>
      <c r="O567" s="7">
        <v>36.1</v>
      </c>
      <c r="P567" s="5" t="s">
        <v>39</v>
      </c>
    </row>
    <row r="568" spans="1:16" x14ac:dyDescent="0.3">
      <c r="A568" s="2">
        <v>1743</v>
      </c>
      <c r="B568" s="2" t="s">
        <v>30</v>
      </c>
      <c r="C568" s="2" t="s">
        <v>31</v>
      </c>
      <c r="D568" s="2" t="s">
        <v>18</v>
      </c>
      <c r="E568" s="2" t="s">
        <v>19</v>
      </c>
      <c r="F568" s="2" t="s">
        <v>20</v>
      </c>
      <c r="G568" s="2" t="s">
        <v>21</v>
      </c>
      <c r="H568" s="2">
        <v>63</v>
      </c>
      <c r="I568" s="3">
        <v>117</v>
      </c>
      <c r="J568" s="3">
        <v>7371</v>
      </c>
      <c r="K568" s="2">
        <v>0</v>
      </c>
      <c r="L568" s="3">
        <v>7371</v>
      </c>
      <c r="M568" s="3">
        <v>4645.3900000000003</v>
      </c>
      <c r="N568" s="3">
        <v>2725.61</v>
      </c>
      <c r="O568" s="4">
        <v>36.979999999999997</v>
      </c>
      <c r="P568" s="2" t="s">
        <v>29</v>
      </c>
    </row>
    <row r="569" spans="1:16" x14ac:dyDescent="0.3">
      <c r="A569" s="5">
        <v>1492</v>
      </c>
      <c r="B569" s="5" t="s">
        <v>54</v>
      </c>
      <c r="C569" s="5" t="s">
        <v>55</v>
      </c>
      <c r="D569" s="5" t="s">
        <v>56</v>
      </c>
      <c r="E569" s="5" t="s">
        <v>44</v>
      </c>
      <c r="F569" s="5" t="s">
        <v>20</v>
      </c>
      <c r="G569" s="5" t="s">
        <v>80</v>
      </c>
      <c r="H569" s="5">
        <v>98</v>
      </c>
      <c r="I569" s="6">
        <v>81</v>
      </c>
      <c r="J569" s="6">
        <v>7938</v>
      </c>
      <c r="K569" s="5">
        <v>0</v>
      </c>
      <c r="L569" s="6">
        <v>7938</v>
      </c>
      <c r="M569" s="6">
        <v>4751.2700000000004</v>
      </c>
      <c r="N569" s="6">
        <v>3186.73</v>
      </c>
      <c r="O569" s="7">
        <v>40.15</v>
      </c>
      <c r="P569" s="5" t="s">
        <v>50</v>
      </c>
    </row>
    <row r="570" spans="1:16" x14ac:dyDescent="0.3">
      <c r="A570" s="2">
        <v>1472</v>
      </c>
      <c r="B570" s="2" t="s">
        <v>54</v>
      </c>
      <c r="C570" s="2" t="s">
        <v>55</v>
      </c>
      <c r="D570" s="2" t="s">
        <v>56</v>
      </c>
      <c r="E570" s="2" t="s">
        <v>42</v>
      </c>
      <c r="F570" s="2" t="s">
        <v>48</v>
      </c>
      <c r="G570" s="2" t="s">
        <v>78</v>
      </c>
      <c r="H570" s="2">
        <v>86</v>
      </c>
      <c r="I570" s="3">
        <v>592</v>
      </c>
      <c r="J570" s="3">
        <v>50912</v>
      </c>
      <c r="K570" s="2">
        <v>0</v>
      </c>
      <c r="L570" s="3">
        <v>50912</v>
      </c>
      <c r="M570" s="3">
        <v>33383.519999999997</v>
      </c>
      <c r="N570" s="3">
        <v>17528.48</v>
      </c>
      <c r="O570" s="4">
        <v>34.43</v>
      </c>
      <c r="P570" s="2" t="s">
        <v>45</v>
      </c>
    </row>
    <row r="571" spans="1:16" x14ac:dyDescent="0.3">
      <c r="A571" s="5">
        <v>1084</v>
      </c>
      <c r="B571" s="5" t="s">
        <v>62</v>
      </c>
      <c r="C571" s="5" t="s">
        <v>63</v>
      </c>
      <c r="D571" s="5" t="s">
        <v>25</v>
      </c>
      <c r="E571" s="5" t="s">
        <v>44</v>
      </c>
      <c r="F571" s="5" t="s">
        <v>37</v>
      </c>
      <c r="G571" s="5" t="s">
        <v>82</v>
      </c>
      <c r="H571" s="5">
        <v>90</v>
      </c>
      <c r="I571" s="6">
        <v>1465</v>
      </c>
      <c r="J571" s="6">
        <v>131850</v>
      </c>
      <c r="K571" s="5">
        <v>15</v>
      </c>
      <c r="L571" s="6">
        <v>112072.5</v>
      </c>
      <c r="M571" s="6">
        <v>65741.47</v>
      </c>
      <c r="N571" s="6">
        <v>46331.03</v>
      </c>
      <c r="O571" s="7">
        <v>41.34</v>
      </c>
      <c r="P571" s="5" t="s">
        <v>43</v>
      </c>
    </row>
    <row r="572" spans="1:16" x14ac:dyDescent="0.3">
      <c r="A572" s="2">
        <v>1761</v>
      </c>
      <c r="B572" s="2" t="s">
        <v>30</v>
      </c>
      <c r="C572" s="2" t="s">
        <v>31</v>
      </c>
      <c r="D572" s="2" t="s">
        <v>18</v>
      </c>
      <c r="E572" s="2" t="s">
        <v>42</v>
      </c>
      <c r="F572" s="2" t="s">
        <v>32</v>
      </c>
      <c r="G572" s="2" t="s">
        <v>40</v>
      </c>
      <c r="H572" s="2">
        <v>120</v>
      </c>
      <c r="I572" s="3">
        <v>16495</v>
      </c>
      <c r="J572" s="3">
        <v>1979400</v>
      </c>
      <c r="K572" s="2">
        <v>5</v>
      </c>
      <c r="L572" s="3">
        <v>1880430</v>
      </c>
      <c r="M572" s="3">
        <v>1276449.1399999999</v>
      </c>
      <c r="N572" s="3">
        <v>603980.86</v>
      </c>
      <c r="O572" s="4">
        <v>32.119999999999997</v>
      </c>
      <c r="P572" s="2" t="s">
        <v>61</v>
      </c>
    </row>
    <row r="573" spans="1:16" x14ac:dyDescent="0.3">
      <c r="A573" s="5">
        <v>2061</v>
      </c>
      <c r="B573" s="5" t="s">
        <v>76</v>
      </c>
      <c r="C573" s="5" t="s">
        <v>77</v>
      </c>
      <c r="D573" s="5" t="s">
        <v>36</v>
      </c>
      <c r="E573" s="5" t="s">
        <v>42</v>
      </c>
      <c r="F573" s="5" t="s">
        <v>32</v>
      </c>
      <c r="G573" s="5" t="s">
        <v>40</v>
      </c>
      <c r="H573" s="5">
        <v>122</v>
      </c>
      <c r="I573" s="6">
        <v>19078</v>
      </c>
      <c r="J573" s="6">
        <v>2327516</v>
      </c>
      <c r="K573" s="5">
        <v>0</v>
      </c>
      <c r="L573" s="6">
        <v>2327516</v>
      </c>
      <c r="M573" s="6">
        <v>1399831.43</v>
      </c>
      <c r="N573" s="6">
        <v>927684.57</v>
      </c>
      <c r="O573" s="7">
        <v>39.86</v>
      </c>
      <c r="P573" s="5" t="s">
        <v>29</v>
      </c>
    </row>
    <row r="574" spans="1:16" x14ac:dyDescent="0.3">
      <c r="A574" s="2">
        <v>1951</v>
      </c>
      <c r="B574" s="2" t="s">
        <v>34</v>
      </c>
      <c r="C574" s="2" t="s">
        <v>35</v>
      </c>
      <c r="D574" s="2" t="s">
        <v>36</v>
      </c>
      <c r="E574" s="2" t="s">
        <v>42</v>
      </c>
      <c r="F574" s="2" t="s">
        <v>27</v>
      </c>
      <c r="G574" s="2" t="s">
        <v>85</v>
      </c>
      <c r="H574" s="2">
        <v>132</v>
      </c>
      <c r="I574" s="3">
        <v>12156</v>
      </c>
      <c r="J574" s="3">
        <v>1604592</v>
      </c>
      <c r="K574" s="2">
        <v>0</v>
      </c>
      <c r="L574" s="3">
        <v>1604592</v>
      </c>
      <c r="M574" s="3">
        <v>958943.38</v>
      </c>
      <c r="N574" s="3">
        <v>645648.62</v>
      </c>
      <c r="O574" s="4">
        <v>40.24</v>
      </c>
      <c r="P574" s="2" t="s">
        <v>29</v>
      </c>
    </row>
    <row r="575" spans="1:16" x14ac:dyDescent="0.3">
      <c r="A575" s="5">
        <v>2196</v>
      </c>
      <c r="B575" s="5" t="s">
        <v>46</v>
      </c>
      <c r="C575" s="5" t="s">
        <v>47</v>
      </c>
      <c r="D575" s="5" t="s">
        <v>36</v>
      </c>
      <c r="E575" s="5" t="s">
        <v>44</v>
      </c>
      <c r="F575" s="5" t="s">
        <v>48</v>
      </c>
      <c r="G575" s="5" t="s">
        <v>69</v>
      </c>
      <c r="H575" s="5">
        <v>203</v>
      </c>
      <c r="I575" s="6">
        <v>1223</v>
      </c>
      <c r="J575" s="6">
        <v>248269</v>
      </c>
      <c r="K575" s="5">
        <v>10</v>
      </c>
      <c r="L575" s="6">
        <v>223442.1</v>
      </c>
      <c r="M575" s="6">
        <v>128664.9</v>
      </c>
      <c r="N575" s="6">
        <v>94777.2</v>
      </c>
      <c r="O575" s="7">
        <v>42.42</v>
      </c>
      <c r="P575" s="5" t="s">
        <v>50</v>
      </c>
    </row>
    <row r="576" spans="1:16" x14ac:dyDescent="0.3">
      <c r="A576" s="5">
        <v>1404</v>
      </c>
      <c r="B576" s="5" t="s">
        <v>54</v>
      </c>
      <c r="C576" s="5" t="s">
        <v>55</v>
      </c>
      <c r="D576" s="5" t="s">
        <v>56</v>
      </c>
      <c r="E576" s="5" t="s">
        <v>26</v>
      </c>
      <c r="F576" s="5" t="s">
        <v>27</v>
      </c>
      <c r="G576" s="5" t="s">
        <v>66</v>
      </c>
      <c r="H576" s="5">
        <v>168</v>
      </c>
      <c r="I576" s="6">
        <v>809</v>
      </c>
      <c r="J576" s="6">
        <v>135912</v>
      </c>
      <c r="K576" s="5">
        <v>0</v>
      </c>
      <c r="L576" s="6">
        <v>135912</v>
      </c>
      <c r="M576" s="6">
        <v>82670.22</v>
      </c>
      <c r="N576" s="6">
        <v>53241.78</v>
      </c>
      <c r="O576" s="7">
        <v>39.17</v>
      </c>
      <c r="P576" s="5" t="s">
        <v>50</v>
      </c>
    </row>
    <row r="577" spans="1:16" x14ac:dyDescent="0.3">
      <c r="A577" s="2">
        <v>1874</v>
      </c>
      <c r="B577" s="2" t="s">
        <v>70</v>
      </c>
      <c r="C577" s="2" t="s">
        <v>71</v>
      </c>
      <c r="D577" s="2" t="s">
        <v>18</v>
      </c>
      <c r="E577" s="2" t="s">
        <v>42</v>
      </c>
      <c r="F577" s="2" t="s">
        <v>48</v>
      </c>
      <c r="G577" s="2" t="s">
        <v>51</v>
      </c>
      <c r="H577" s="2">
        <v>49</v>
      </c>
      <c r="I577" s="3">
        <v>2137</v>
      </c>
      <c r="J577" s="3">
        <v>104713</v>
      </c>
      <c r="K577" s="2">
        <v>15</v>
      </c>
      <c r="L577" s="3">
        <v>89006.05</v>
      </c>
      <c r="M577" s="3">
        <v>60011.24</v>
      </c>
      <c r="N577" s="3">
        <v>28994.81</v>
      </c>
      <c r="O577" s="4">
        <v>32.58</v>
      </c>
      <c r="P577" s="2" t="s">
        <v>29</v>
      </c>
    </row>
    <row r="578" spans="1:16" x14ac:dyDescent="0.3">
      <c r="A578" s="5">
        <v>1292</v>
      </c>
      <c r="B578" s="5" t="s">
        <v>52</v>
      </c>
      <c r="C578" s="5" t="s">
        <v>53</v>
      </c>
      <c r="D578" s="5" t="s">
        <v>25</v>
      </c>
      <c r="E578" s="5" t="s">
        <v>44</v>
      </c>
      <c r="F578" s="5" t="s">
        <v>20</v>
      </c>
      <c r="G578" s="5" t="s">
        <v>80</v>
      </c>
      <c r="H578" s="5">
        <v>49</v>
      </c>
      <c r="I578" s="6">
        <v>85</v>
      </c>
      <c r="J578" s="6">
        <v>4165</v>
      </c>
      <c r="K578" s="5">
        <v>15</v>
      </c>
      <c r="L578" s="6">
        <v>3540.25</v>
      </c>
      <c r="M578" s="6">
        <v>2419.4899999999998</v>
      </c>
      <c r="N578" s="6">
        <v>1120.76</v>
      </c>
      <c r="O578" s="7">
        <v>31.66</v>
      </c>
      <c r="P578" s="5" t="s">
        <v>39</v>
      </c>
    </row>
    <row r="579" spans="1:16" x14ac:dyDescent="0.3">
      <c r="A579" s="5">
        <v>2157</v>
      </c>
      <c r="B579" s="5" t="s">
        <v>46</v>
      </c>
      <c r="C579" s="5" t="s">
        <v>47</v>
      </c>
      <c r="D579" s="5" t="s">
        <v>36</v>
      </c>
      <c r="E579" s="5" t="s">
        <v>42</v>
      </c>
      <c r="F579" s="5" t="s">
        <v>37</v>
      </c>
      <c r="G579" s="5" t="s">
        <v>79</v>
      </c>
      <c r="H579" s="5">
        <v>61</v>
      </c>
      <c r="I579" s="6">
        <v>1148</v>
      </c>
      <c r="J579" s="6">
        <v>70028</v>
      </c>
      <c r="K579" s="5">
        <v>0</v>
      </c>
      <c r="L579" s="6">
        <v>70028</v>
      </c>
      <c r="M579" s="6">
        <v>45013.62</v>
      </c>
      <c r="N579" s="6">
        <v>25014.38</v>
      </c>
      <c r="O579" s="7">
        <v>35.72</v>
      </c>
      <c r="P579" s="5" t="s">
        <v>61</v>
      </c>
    </row>
    <row r="580" spans="1:16" x14ac:dyDescent="0.3">
      <c r="A580" s="2">
        <v>1097</v>
      </c>
      <c r="B580" s="2" t="s">
        <v>62</v>
      </c>
      <c r="C580" s="2" t="s">
        <v>63</v>
      </c>
      <c r="D580" s="2" t="s">
        <v>25</v>
      </c>
      <c r="E580" s="2" t="s">
        <v>44</v>
      </c>
      <c r="F580" s="2" t="s">
        <v>48</v>
      </c>
      <c r="G580" s="2" t="s">
        <v>78</v>
      </c>
      <c r="H580" s="2">
        <v>66</v>
      </c>
      <c r="I580" s="3">
        <v>573</v>
      </c>
      <c r="J580" s="3">
        <v>37818</v>
      </c>
      <c r="K580" s="2">
        <v>20</v>
      </c>
      <c r="L580" s="3">
        <v>30254.400000000001</v>
      </c>
      <c r="M580" s="3">
        <v>16771.64</v>
      </c>
      <c r="N580" s="3">
        <v>13482.76</v>
      </c>
      <c r="O580" s="4">
        <v>44.56</v>
      </c>
      <c r="P580" s="2" t="s">
        <v>41</v>
      </c>
    </row>
    <row r="581" spans="1:16" x14ac:dyDescent="0.3">
      <c r="A581" s="5">
        <v>1511</v>
      </c>
      <c r="B581" s="5" t="s">
        <v>73</v>
      </c>
      <c r="C581" s="5" t="s">
        <v>74</v>
      </c>
      <c r="D581" s="5" t="s">
        <v>56</v>
      </c>
      <c r="E581" s="5" t="s">
        <v>26</v>
      </c>
      <c r="F581" s="5" t="s">
        <v>32</v>
      </c>
      <c r="G581" s="5" t="s">
        <v>40</v>
      </c>
      <c r="H581" s="5">
        <v>40</v>
      </c>
      <c r="I581" s="6">
        <v>17523</v>
      </c>
      <c r="J581" s="6">
        <v>700920</v>
      </c>
      <c r="K581" s="5">
        <v>5</v>
      </c>
      <c r="L581" s="6">
        <v>665874</v>
      </c>
      <c r="M581" s="6">
        <v>379927.32</v>
      </c>
      <c r="N581" s="6">
        <v>285946.68</v>
      </c>
      <c r="O581" s="7">
        <v>42.94</v>
      </c>
      <c r="P581" s="5" t="s">
        <v>61</v>
      </c>
    </row>
    <row r="582" spans="1:16" x14ac:dyDescent="0.3">
      <c r="A582" s="2">
        <v>1970</v>
      </c>
      <c r="B582" s="2" t="s">
        <v>34</v>
      </c>
      <c r="C582" s="2" t="s">
        <v>35</v>
      </c>
      <c r="D582" s="2" t="s">
        <v>36</v>
      </c>
      <c r="E582" s="2" t="s">
        <v>42</v>
      </c>
      <c r="F582" s="2" t="s">
        <v>20</v>
      </c>
      <c r="G582" s="2" t="s">
        <v>60</v>
      </c>
      <c r="H582" s="2">
        <v>66</v>
      </c>
      <c r="I582" s="3">
        <v>93</v>
      </c>
      <c r="J582" s="3">
        <v>6138</v>
      </c>
      <c r="K582" s="2">
        <v>0</v>
      </c>
      <c r="L582" s="3">
        <v>6138</v>
      </c>
      <c r="M582" s="3">
        <v>4037.31</v>
      </c>
      <c r="N582" s="3">
        <v>2100.69</v>
      </c>
      <c r="O582" s="4">
        <v>34.22</v>
      </c>
      <c r="P582" s="2" t="s">
        <v>29</v>
      </c>
    </row>
    <row r="583" spans="1:16" x14ac:dyDescent="0.3">
      <c r="A583" s="5">
        <v>1079</v>
      </c>
      <c r="B583" s="5" t="s">
        <v>62</v>
      </c>
      <c r="C583" s="5" t="s">
        <v>63</v>
      </c>
      <c r="D583" s="5" t="s">
        <v>25</v>
      </c>
      <c r="E583" s="5" t="s">
        <v>44</v>
      </c>
      <c r="F583" s="5" t="s">
        <v>27</v>
      </c>
      <c r="G583" s="5" t="s">
        <v>66</v>
      </c>
      <c r="H583" s="5">
        <v>47</v>
      </c>
      <c r="I583" s="6">
        <v>754</v>
      </c>
      <c r="J583" s="6">
        <v>35438</v>
      </c>
      <c r="K583" s="5">
        <v>10</v>
      </c>
      <c r="L583" s="6">
        <v>31894.2</v>
      </c>
      <c r="M583" s="6">
        <v>19766.37</v>
      </c>
      <c r="N583" s="6">
        <v>12127.83</v>
      </c>
      <c r="O583" s="7">
        <v>38.03</v>
      </c>
      <c r="P583" s="5" t="s">
        <v>39</v>
      </c>
    </row>
    <row r="584" spans="1:16" x14ac:dyDescent="0.3">
      <c r="A584" s="2">
        <v>1427</v>
      </c>
      <c r="B584" s="2" t="s">
        <v>54</v>
      </c>
      <c r="C584" s="2" t="s">
        <v>55</v>
      </c>
      <c r="D584" s="2" t="s">
        <v>56</v>
      </c>
      <c r="E584" s="2" t="s">
        <v>19</v>
      </c>
      <c r="F584" s="2" t="s">
        <v>27</v>
      </c>
      <c r="G584" s="2" t="s">
        <v>28</v>
      </c>
      <c r="H584" s="2">
        <v>68</v>
      </c>
      <c r="I584" s="3">
        <v>7962</v>
      </c>
      <c r="J584" s="3">
        <v>541416</v>
      </c>
      <c r="K584" s="2">
        <v>0</v>
      </c>
      <c r="L584" s="3">
        <v>541416</v>
      </c>
      <c r="M584" s="3">
        <v>354858.54</v>
      </c>
      <c r="N584" s="3">
        <v>186557.46</v>
      </c>
      <c r="O584" s="4">
        <v>34.46</v>
      </c>
      <c r="P584" s="2" t="s">
        <v>29</v>
      </c>
    </row>
    <row r="585" spans="1:16" x14ac:dyDescent="0.3">
      <c r="A585" s="5">
        <v>1795</v>
      </c>
      <c r="B585" s="5" t="s">
        <v>30</v>
      </c>
      <c r="C585" s="5" t="s">
        <v>31</v>
      </c>
      <c r="D585" s="5" t="s">
        <v>18</v>
      </c>
      <c r="E585" s="5" t="s">
        <v>44</v>
      </c>
      <c r="F585" s="5" t="s">
        <v>20</v>
      </c>
      <c r="G585" s="5" t="s">
        <v>60</v>
      </c>
      <c r="H585" s="5">
        <v>115</v>
      </c>
      <c r="I585" s="6">
        <v>93</v>
      </c>
      <c r="J585" s="6">
        <v>10695</v>
      </c>
      <c r="K585" s="5">
        <v>10</v>
      </c>
      <c r="L585" s="6">
        <v>9625.5</v>
      </c>
      <c r="M585" s="6">
        <v>5884.33</v>
      </c>
      <c r="N585" s="6">
        <v>3741.17</v>
      </c>
      <c r="O585" s="7">
        <v>38.869999999999997</v>
      </c>
      <c r="P585" s="5" t="s">
        <v>29</v>
      </c>
    </row>
    <row r="586" spans="1:16" x14ac:dyDescent="0.3">
      <c r="A586" s="2">
        <v>2095</v>
      </c>
      <c r="B586" s="2" t="s">
        <v>76</v>
      </c>
      <c r="C586" s="2" t="s">
        <v>77</v>
      </c>
      <c r="D586" s="2" t="s">
        <v>36</v>
      </c>
      <c r="E586" s="2" t="s">
        <v>44</v>
      </c>
      <c r="F586" s="2" t="s">
        <v>20</v>
      </c>
      <c r="G586" s="2" t="s">
        <v>60</v>
      </c>
      <c r="H586" s="2">
        <v>117</v>
      </c>
      <c r="I586" s="3">
        <v>82</v>
      </c>
      <c r="J586" s="3">
        <v>9594</v>
      </c>
      <c r="K586" s="2">
        <v>5</v>
      </c>
      <c r="L586" s="3">
        <v>9114.2999999999993</v>
      </c>
      <c r="M586" s="3">
        <v>5696.01</v>
      </c>
      <c r="N586" s="3">
        <v>3418.29</v>
      </c>
      <c r="O586" s="4">
        <v>37.5</v>
      </c>
      <c r="P586" s="2" t="s">
        <v>39</v>
      </c>
    </row>
    <row r="587" spans="1:16" x14ac:dyDescent="0.3">
      <c r="A587" s="5">
        <v>2082</v>
      </c>
      <c r="B587" s="5" t="s">
        <v>76</v>
      </c>
      <c r="C587" s="5" t="s">
        <v>77</v>
      </c>
      <c r="D587" s="5" t="s">
        <v>36</v>
      </c>
      <c r="E587" s="5" t="s">
        <v>44</v>
      </c>
      <c r="F587" s="5" t="s">
        <v>37</v>
      </c>
      <c r="G587" s="5" t="s">
        <v>79</v>
      </c>
      <c r="H587" s="5">
        <v>47</v>
      </c>
      <c r="I587" s="6">
        <v>1210</v>
      </c>
      <c r="J587" s="6">
        <v>56870</v>
      </c>
      <c r="K587" s="5">
        <v>15</v>
      </c>
      <c r="L587" s="6">
        <v>48339.5</v>
      </c>
      <c r="M587" s="6">
        <v>28170.23</v>
      </c>
      <c r="N587" s="6">
        <v>20169.27</v>
      </c>
      <c r="O587" s="7">
        <v>41.72</v>
      </c>
      <c r="P587" s="5" t="s">
        <v>29</v>
      </c>
    </row>
    <row r="588" spans="1:16" x14ac:dyDescent="0.3">
      <c r="A588" s="2">
        <v>1005</v>
      </c>
      <c r="B588" s="2" t="s">
        <v>62</v>
      </c>
      <c r="C588" s="2" t="s">
        <v>63</v>
      </c>
      <c r="D588" s="2" t="s">
        <v>25</v>
      </c>
      <c r="E588" s="2" t="s">
        <v>26</v>
      </c>
      <c r="F588" s="2" t="s">
        <v>27</v>
      </c>
      <c r="G588" s="2" t="s">
        <v>84</v>
      </c>
      <c r="H588" s="2">
        <v>97</v>
      </c>
      <c r="I588" s="3">
        <v>14521</v>
      </c>
      <c r="J588" s="3">
        <v>1408537</v>
      </c>
      <c r="K588" s="2">
        <v>0</v>
      </c>
      <c r="L588" s="3">
        <v>1408537</v>
      </c>
      <c r="M588" s="3">
        <v>820186.96</v>
      </c>
      <c r="N588" s="3">
        <v>588350.04</v>
      </c>
      <c r="O588" s="4">
        <v>41.77</v>
      </c>
      <c r="P588" s="2" t="s">
        <v>41</v>
      </c>
    </row>
    <row r="589" spans="1:16" x14ac:dyDescent="0.3">
      <c r="A589" s="5">
        <v>1598</v>
      </c>
      <c r="B589" s="5" t="s">
        <v>73</v>
      </c>
      <c r="C589" s="5" t="s">
        <v>74</v>
      </c>
      <c r="D589" s="5" t="s">
        <v>56</v>
      </c>
      <c r="E589" s="5" t="s">
        <v>44</v>
      </c>
      <c r="F589" s="5" t="s">
        <v>48</v>
      </c>
      <c r="G589" s="5" t="s">
        <v>49</v>
      </c>
      <c r="H589" s="5">
        <v>45</v>
      </c>
      <c r="I589" s="6">
        <v>732</v>
      </c>
      <c r="J589" s="6">
        <v>32940</v>
      </c>
      <c r="K589" s="5">
        <v>0</v>
      </c>
      <c r="L589" s="6">
        <v>32940</v>
      </c>
      <c r="M589" s="6">
        <v>19786.810000000001</v>
      </c>
      <c r="N589" s="6">
        <v>13153.19</v>
      </c>
      <c r="O589" s="7">
        <v>39.93</v>
      </c>
      <c r="P589" s="5" t="s">
        <v>39</v>
      </c>
    </row>
    <row r="590" spans="1:16" x14ac:dyDescent="0.3">
      <c r="A590" s="2">
        <v>1710</v>
      </c>
      <c r="B590" s="2" t="s">
        <v>30</v>
      </c>
      <c r="C590" s="2" t="s">
        <v>31</v>
      </c>
      <c r="D590" s="2" t="s">
        <v>18</v>
      </c>
      <c r="E590" s="2" t="s">
        <v>26</v>
      </c>
      <c r="F590" s="2" t="s">
        <v>37</v>
      </c>
      <c r="G590" s="2" t="s">
        <v>67</v>
      </c>
      <c r="H590" s="2">
        <v>176</v>
      </c>
      <c r="I590" s="3">
        <v>1783</v>
      </c>
      <c r="J590" s="3">
        <v>313808</v>
      </c>
      <c r="K590" s="2">
        <v>0</v>
      </c>
      <c r="L590" s="3">
        <v>313808</v>
      </c>
      <c r="M590" s="3">
        <v>179098.7</v>
      </c>
      <c r="N590" s="3">
        <v>134709.29999999999</v>
      </c>
      <c r="O590" s="4">
        <v>42.93</v>
      </c>
      <c r="P590" s="2" t="s">
        <v>50</v>
      </c>
    </row>
    <row r="591" spans="1:16" x14ac:dyDescent="0.3">
      <c r="A591" s="5">
        <v>1600</v>
      </c>
      <c r="B591" s="5" t="s">
        <v>73</v>
      </c>
      <c r="C591" s="5" t="s">
        <v>74</v>
      </c>
      <c r="D591" s="5" t="s">
        <v>56</v>
      </c>
      <c r="E591" s="5" t="s">
        <v>44</v>
      </c>
      <c r="F591" s="5" t="s">
        <v>48</v>
      </c>
      <c r="G591" s="5" t="s">
        <v>72</v>
      </c>
      <c r="H591" s="5">
        <v>44</v>
      </c>
      <c r="I591" s="6">
        <v>3221</v>
      </c>
      <c r="J591" s="6">
        <v>141724</v>
      </c>
      <c r="K591" s="5">
        <v>5</v>
      </c>
      <c r="L591" s="6">
        <v>134637.79999999999</v>
      </c>
      <c r="M591" s="6">
        <v>93729.42</v>
      </c>
      <c r="N591" s="6">
        <v>40908.379999999997</v>
      </c>
      <c r="O591" s="7">
        <v>30.38</v>
      </c>
      <c r="P591" s="5" t="s">
        <v>22</v>
      </c>
    </row>
    <row r="592" spans="1:16" x14ac:dyDescent="0.3">
      <c r="A592" s="2">
        <v>1577</v>
      </c>
      <c r="B592" s="2" t="s">
        <v>73</v>
      </c>
      <c r="C592" s="2" t="s">
        <v>74</v>
      </c>
      <c r="D592" s="2" t="s">
        <v>56</v>
      </c>
      <c r="E592" s="2" t="s">
        <v>44</v>
      </c>
      <c r="F592" s="2" t="s">
        <v>27</v>
      </c>
      <c r="G592" s="2" t="s">
        <v>28</v>
      </c>
      <c r="H592" s="2">
        <v>47</v>
      </c>
      <c r="I592" s="3">
        <v>8148</v>
      </c>
      <c r="J592" s="3">
        <v>382956</v>
      </c>
      <c r="K592" s="2">
        <v>10</v>
      </c>
      <c r="L592" s="3">
        <v>344660.4</v>
      </c>
      <c r="M592" s="3">
        <v>236815.13</v>
      </c>
      <c r="N592" s="3">
        <v>107845.27</v>
      </c>
      <c r="O592" s="4">
        <v>31.29</v>
      </c>
      <c r="P592" s="2" t="s">
        <v>43</v>
      </c>
    </row>
    <row r="593" spans="1:16" x14ac:dyDescent="0.3">
      <c r="A593" s="5">
        <v>1244</v>
      </c>
      <c r="B593" s="5" t="s">
        <v>52</v>
      </c>
      <c r="C593" s="5" t="s">
        <v>53</v>
      </c>
      <c r="D593" s="5" t="s">
        <v>25</v>
      </c>
      <c r="E593" s="5" t="s">
        <v>19</v>
      </c>
      <c r="F593" s="5" t="s">
        <v>20</v>
      </c>
      <c r="G593" s="5" t="s">
        <v>68</v>
      </c>
      <c r="H593" s="5">
        <v>68</v>
      </c>
      <c r="I593" s="6">
        <v>152</v>
      </c>
      <c r="J593" s="6">
        <v>10336</v>
      </c>
      <c r="K593" s="5">
        <v>20</v>
      </c>
      <c r="L593" s="6">
        <v>8268.7999999999993</v>
      </c>
      <c r="M593" s="6">
        <v>5392.66</v>
      </c>
      <c r="N593" s="6">
        <v>2876.14</v>
      </c>
      <c r="O593" s="7">
        <v>34.78</v>
      </c>
      <c r="P593" s="5" t="s">
        <v>41</v>
      </c>
    </row>
    <row r="594" spans="1:16" x14ac:dyDescent="0.3">
      <c r="A594" s="2">
        <v>1521</v>
      </c>
      <c r="B594" s="2" t="s">
        <v>73</v>
      </c>
      <c r="C594" s="2" t="s">
        <v>74</v>
      </c>
      <c r="D594" s="2" t="s">
        <v>56</v>
      </c>
      <c r="E594" s="2" t="s">
        <v>26</v>
      </c>
      <c r="F594" s="2" t="s">
        <v>48</v>
      </c>
      <c r="G594" s="2" t="s">
        <v>69</v>
      </c>
      <c r="H594" s="2">
        <v>107</v>
      </c>
      <c r="I594" s="3">
        <v>1315</v>
      </c>
      <c r="J594" s="3">
        <v>140705</v>
      </c>
      <c r="K594" s="2">
        <v>10</v>
      </c>
      <c r="L594" s="3">
        <v>126634.5</v>
      </c>
      <c r="M594" s="3">
        <v>87389.03</v>
      </c>
      <c r="N594" s="3">
        <v>39245.47</v>
      </c>
      <c r="O594" s="4">
        <v>30.99</v>
      </c>
      <c r="P594" s="2" t="s">
        <v>61</v>
      </c>
    </row>
    <row r="595" spans="1:16" x14ac:dyDescent="0.3">
      <c r="A595" s="5">
        <v>1760</v>
      </c>
      <c r="B595" s="5" t="s">
        <v>30</v>
      </c>
      <c r="C595" s="5" t="s">
        <v>31</v>
      </c>
      <c r="D595" s="5" t="s">
        <v>18</v>
      </c>
      <c r="E595" s="5" t="s">
        <v>42</v>
      </c>
      <c r="F595" s="5" t="s">
        <v>37</v>
      </c>
      <c r="G595" s="5" t="s">
        <v>67</v>
      </c>
      <c r="H595" s="5">
        <v>89</v>
      </c>
      <c r="I595" s="6">
        <v>1899</v>
      </c>
      <c r="J595" s="6">
        <v>169011</v>
      </c>
      <c r="K595" s="5">
        <v>20</v>
      </c>
      <c r="L595" s="6">
        <v>135208.79999999999</v>
      </c>
      <c r="M595" s="6">
        <v>85553.47</v>
      </c>
      <c r="N595" s="6">
        <v>49655.33</v>
      </c>
      <c r="O595" s="7">
        <v>36.72</v>
      </c>
      <c r="P595" s="5" t="s">
        <v>61</v>
      </c>
    </row>
    <row r="596" spans="1:16" x14ac:dyDescent="0.3">
      <c r="A596" s="2">
        <v>1722</v>
      </c>
      <c r="B596" s="2" t="s">
        <v>30</v>
      </c>
      <c r="C596" s="2" t="s">
        <v>31</v>
      </c>
      <c r="D596" s="2" t="s">
        <v>18</v>
      </c>
      <c r="E596" s="2" t="s">
        <v>26</v>
      </c>
      <c r="F596" s="2" t="s">
        <v>48</v>
      </c>
      <c r="G596" s="2" t="s">
        <v>78</v>
      </c>
      <c r="H596" s="2">
        <v>26</v>
      </c>
      <c r="I596" s="3">
        <v>570</v>
      </c>
      <c r="J596" s="3">
        <v>14820</v>
      </c>
      <c r="K596" s="2">
        <v>20</v>
      </c>
      <c r="L596" s="3">
        <v>11856</v>
      </c>
      <c r="M596" s="3">
        <v>7996.84</v>
      </c>
      <c r="N596" s="3">
        <v>3859.16</v>
      </c>
      <c r="O596" s="4">
        <v>32.549999999999997</v>
      </c>
      <c r="P596" s="2" t="s">
        <v>41</v>
      </c>
    </row>
    <row r="597" spans="1:16" x14ac:dyDescent="0.3">
      <c r="A597" s="5">
        <v>1291</v>
      </c>
      <c r="B597" s="5" t="s">
        <v>52</v>
      </c>
      <c r="C597" s="5" t="s">
        <v>53</v>
      </c>
      <c r="D597" s="5" t="s">
        <v>25</v>
      </c>
      <c r="E597" s="5" t="s">
        <v>44</v>
      </c>
      <c r="F597" s="5" t="s">
        <v>20</v>
      </c>
      <c r="G597" s="5" t="s">
        <v>64</v>
      </c>
      <c r="H597" s="5">
        <v>51</v>
      </c>
      <c r="I597" s="6">
        <v>214</v>
      </c>
      <c r="J597" s="6">
        <v>10914</v>
      </c>
      <c r="K597" s="5">
        <v>0</v>
      </c>
      <c r="L597" s="6">
        <v>10914</v>
      </c>
      <c r="M597" s="6">
        <v>7420.1</v>
      </c>
      <c r="N597" s="6">
        <v>3493.9</v>
      </c>
      <c r="O597" s="7">
        <v>32.01</v>
      </c>
      <c r="P597" s="5" t="s">
        <v>41</v>
      </c>
    </row>
    <row r="598" spans="1:16" x14ac:dyDescent="0.3">
      <c r="A598" s="2">
        <v>1737</v>
      </c>
      <c r="B598" s="2" t="s">
        <v>30</v>
      </c>
      <c r="C598" s="2" t="s">
        <v>31</v>
      </c>
      <c r="D598" s="2" t="s">
        <v>18</v>
      </c>
      <c r="E598" s="2" t="s">
        <v>19</v>
      </c>
      <c r="F598" s="2" t="s">
        <v>32</v>
      </c>
      <c r="G598" s="2" t="s">
        <v>75</v>
      </c>
      <c r="H598" s="2">
        <v>64</v>
      </c>
      <c r="I598" s="3">
        <v>10998</v>
      </c>
      <c r="J598" s="3">
        <v>703872</v>
      </c>
      <c r="K598" s="2">
        <v>0</v>
      </c>
      <c r="L598" s="3">
        <v>703872</v>
      </c>
      <c r="M598" s="3">
        <v>404803.28</v>
      </c>
      <c r="N598" s="3">
        <v>299068.71999999997</v>
      </c>
      <c r="O598" s="4">
        <v>42.49</v>
      </c>
      <c r="P598" s="2" t="s">
        <v>43</v>
      </c>
    </row>
    <row r="599" spans="1:16" x14ac:dyDescent="0.3">
      <c r="A599" s="5">
        <v>1096</v>
      </c>
      <c r="B599" s="5" t="s">
        <v>62</v>
      </c>
      <c r="C599" s="5" t="s">
        <v>63</v>
      </c>
      <c r="D599" s="5" t="s">
        <v>25</v>
      </c>
      <c r="E599" s="5" t="s">
        <v>44</v>
      </c>
      <c r="F599" s="5" t="s">
        <v>48</v>
      </c>
      <c r="G599" s="5" t="s">
        <v>69</v>
      </c>
      <c r="H599" s="5">
        <v>47</v>
      </c>
      <c r="I599" s="6">
        <v>1174</v>
      </c>
      <c r="J599" s="6">
        <v>55178</v>
      </c>
      <c r="K599" s="5">
        <v>15</v>
      </c>
      <c r="L599" s="6">
        <v>46901.3</v>
      </c>
      <c r="M599" s="6">
        <v>29582.2</v>
      </c>
      <c r="N599" s="6">
        <v>17319.099999999999</v>
      </c>
      <c r="O599" s="7">
        <v>36.93</v>
      </c>
      <c r="P599" s="5" t="s">
        <v>45</v>
      </c>
    </row>
    <row r="600" spans="1:16" x14ac:dyDescent="0.3">
      <c r="A600" s="2">
        <v>1358</v>
      </c>
      <c r="B600" s="2" t="s">
        <v>57</v>
      </c>
      <c r="C600" s="2" t="s">
        <v>58</v>
      </c>
      <c r="D600" s="2" t="s">
        <v>56</v>
      </c>
      <c r="E600" s="2" t="s">
        <v>42</v>
      </c>
      <c r="F600" s="2" t="s">
        <v>37</v>
      </c>
      <c r="G600" s="2" t="s">
        <v>38</v>
      </c>
      <c r="H600" s="2">
        <v>39</v>
      </c>
      <c r="I600" s="3">
        <v>2046</v>
      </c>
      <c r="J600" s="3">
        <v>79794</v>
      </c>
      <c r="K600" s="2">
        <v>5</v>
      </c>
      <c r="L600" s="3">
        <v>75804.3</v>
      </c>
      <c r="M600" s="3">
        <v>44449.27</v>
      </c>
      <c r="N600" s="3">
        <v>31355.03</v>
      </c>
      <c r="O600" s="4">
        <v>41.36</v>
      </c>
      <c r="P600" s="2" t="s">
        <v>45</v>
      </c>
    </row>
    <row r="601" spans="1:16" x14ac:dyDescent="0.3">
      <c r="A601" s="5">
        <v>1127</v>
      </c>
      <c r="B601" s="5" t="s">
        <v>23</v>
      </c>
      <c r="C601" s="5" t="s">
        <v>24</v>
      </c>
      <c r="D601" s="5" t="s">
        <v>25</v>
      </c>
      <c r="E601" s="5" t="s">
        <v>19</v>
      </c>
      <c r="F601" s="5" t="s">
        <v>27</v>
      </c>
      <c r="G601" s="5" t="s">
        <v>28</v>
      </c>
      <c r="H601" s="5">
        <v>44</v>
      </c>
      <c r="I601" s="6">
        <v>8759</v>
      </c>
      <c r="J601" s="6">
        <v>385396</v>
      </c>
      <c r="K601" s="5">
        <v>5</v>
      </c>
      <c r="L601" s="6">
        <v>366126.2</v>
      </c>
      <c r="M601" s="6">
        <v>239670.83</v>
      </c>
      <c r="N601" s="6">
        <v>126455.37</v>
      </c>
      <c r="O601" s="7">
        <v>34.54</v>
      </c>
      <c r="P601" s="5" t="s">
        <v>61</v>
      </c>
    </row>
    <row r="602" spans="1:16" x14ac:dyDescent="0.3">
      <c r="A602" s="2">
        <v>1152</v>
      </c>
      <c r="B602" s="2" t="s">
        <v>23</v>
      </c>
      <c r="C602" s="2" t="s">
        <v>24</v>
      </c>
      <c r="D602" s="2" t="s">
        <v>25</v>
      </c>
      <c r="E602" s="2" t="s">
        <v>42</v>
      </c>
      <c r="F602" s="2" t="s">
        <v>27</v>
      </c>
      <c r="G602" s="2" t="s">
        <v>28</v>
      </c>
      <c r="H602" s="2">
        <v>48</v>
      </c>
      <c r="I602" s="3">
        <v>7410</v>
      </c>
      <c r="J602" s="3">
        <v>355680</v>
      </c>
      <c r="K602" s="2">
        <v>5</v>
      </c>
      <c r="L602" s="3">
        <v>337896</v>
      </c>
      <c r="M602" s="3">
        <v>208048.45</v>
      </c>
      <c r="N602" s="3">
        <v>129847.55</v>
      </c>
      <c r="O602" s="4">
        <v>38.43</v>
      </c>
      <c r="P602" s="2" t="s">
        <v>39</v>
      </c>
    </row>
    <row r="603" spans="1:16" x14ac:dyDescent="0.3">
      <c r="A603" s="5">
        <v>1913</v>
      </c>
      <c r="B603" s="5" t="s">
        <v>34</v>
      </c>
      <c r="C603" s="5" t="s">
        <v>35</v>
      </c>
      <c r="D603" s="5" t="s">
        <v>36</v>
      </c>
      <c r="E603" s="5" t="s">
        <v>26</v>
      </c>
      <c r="F603" s="5" t="s">
        <v>32</v>
      </c>
      <c r="G603" s="5" t="s">
        <v>81</v>
      </c>
      <c r="H603" s="5">
        <v>42</v>
      </c>
      <c r="I603" s="6">
        <v>13889</v>
      </c>
      <c r="J603" s="6">
        <v>583338</v>
      </c>
      <c r="K603" s="5">
        <v>0</v>
      </c>
      <c r="L603" s="6">
        <v>583338</v>
      </c>
      <c r="M603" s="6">
        <v>332946.71000000002</v>
      </c>
      <c r="N603" s="6">
        <v>250391.29</v>
      </c>
      <c r="O603" s="7">
        <v>42.92</v>
      </c>
      <c r="P603" s="5" t="s">
        <v>41</v>
      </c>
    </row>
    <row r="604" spans="1:16" x14ac:dyDescent="0.3">
      <c r="A604" s="2">
        <v>2106</v>
      </c>
      <c r="B604" s="2" t="s">
        <v>46</v>
      </c>
      <c r="C604" s="2" t="s">
        <v>47</v>
      </c>
      <c r="D604" s="2" t="s">
        <v>36</v>
      </c>
      <c r="E604" s="2" t="s">
        <v>26</v>
      </c>
      <c r="F604" s="2" t="s">
        <v>37</v>
      </c>
      <c r="G604" s="2" t="s">
        <v>59</v>
      </c>
      <c r="H604" s="2">
        <v>182</v>
      </c>
      <c r="I604" s="3">
        <v>505</v>
      </c>
      <c r="J604" s="3">
        <v>91910</v>
      </c>
      <c r="K604" s="2">
        <v>20</v>
      </c>
      <c r="L604" s="3">
        <v>73528</v>
      </c>
      <c r="M604" s="3">
        <v>43127.61</v>
      </c>
      <c r="N604" s="3">
        <v>30400.39</v>
      </c>
      <c r="O604" s="4">
        <v>41.35</v>
      </c>
      <c r="P604" s="2" t="s">
        <v>43</v>
      </c>
    </row>
    <row r="605" spans="1:16" x14ac:dyDescent="0.3">
      <c r="A605" s="5">
        <v>1469</v>
      </c>
      <c r="B605" s="5" t="s">
        <v>54</v>
      </c>
      <c r="C605" s="5" t="s">
        <v>55</v>
      </c>
      <c r="D605" s="5" t="s">
        <v>56</v>
      </c>
      <c r="E605" s="5" t="s">
        <v>42</v>
      </c>
      <c r="F605" s="5" t="s">
        <v>20</v>
      </c>
      <c r="G605" s="5" t="s">
        <v>68</v>
      </c>
      <c r="H605" s="5">
        <v>119</v>
      </c>
      <c r="I605" s="6">
        <v>140</v>
      </c>
      <c r="J605" s="6">
        <v>16660</v>
      </c>
      <c r="K605" s="5">
        <v>5</v>
      </c>
      <c r="L605" s="6">
        <v>15827</v>
      </c>
      <c r="M605" s="6">
        <v>9929.85</v>
      </c>
      <c r="N605" s="6">
        <v>5897.15</v>
      </c>
      <c r="O605" s="7">
        <v>37.26</v>
      </c>
      <c r="P605" s="5" t="s">
        <v>61</v>
      </c>
    </row>
    <row r="606" spans="1:16" x14ac:dyDescent="0.3">
      <c r="A606" s="2">
        <v>1497</v>
      </c>
      <c r="B606" s="2" t="s">
        <v>54</v>
      </c>
      <c r="C606" s="2" t="s">
        <v>55</v>
      </c>
      <c r="D606" s="2" t="s">
        <v>56</v>
      </c>
      <c r="E606" s="2" t="s">
        <v>44</v>
      </c>
      <c r="F606" s="2" t="s">
        <v>48</v>
      </c>
      <c r="G606" s="2" t="s">
        <v>78</v>
      </c>
      <c r="H606" s="2">
        <v>82</v>
      </c>
      <c r="I606" s="3">
        <v>616</v>
      </c>
      <c r="J606" s="3">
        <v>50512</v>
      </c>
      <c r="K606" s="2">
        <v>0</v>
      </c>
      <c r="L606" s="3">
        <v>50512</v>
      </c>
      <c r="M606" s="3">
        <v>30833.919999999998</v>
      </c>
      <c r="N606" s="3">
        <v>19678.080000000002</v>
      </c>
      <c r="O606" s="4">
        <v>38.96</v>
      </c>
      <c r="P606" s="2" t="s">
        <v>50</v>
      </c>
    </row>
    <row r="607" spans="1:16" x14ac:dyDescent="0.3">
      <c r="A607" s="5">
        <v>1575</v>
      </c>
      <c r="B607" s="5" t="s">
        <v>73</v>
      </c>
      <c r="C607" s="5" t="s">
        <v>74</v>
      </c>
      <c r="D607" s="5" t="s">
        <v>56</v>
      </c>
      <c r="E607" s="5" t="s">
        <v>42</v>
      </c>
      <c r="F607" s="5" t="s">
        <v>48</v>
      </c>
      <c r="G607" s="5" t="s">
        <v>72</v>
      </c>
      <c r="H607" s="5">
        <v>169</v>
      </c>
      <c r="I607" s="6">
        <v>3220</v>
      </c>
      <c r="J607" s="6">
        <v>544180</v>
      </c>
      <c r="K607" s="5">
        <v>5</v>
      </c>
      <c r="L607" s="6">
        <v>516971</v>
      </c>
      <c r="M607" s="6">
        <v>305002.06</v>
      </c>
      <c r="N607" s="6">
        <v>211968.94</v>
      </c>
      <c r="O607" s="7">
        <v>41</v>
      </c>
      <c r="P607" s="5" t="s">
        <v>43</v>
      </c>
    </row>
    <row r="608" spans="1:16" x14ac:dyDescent="0.3">
      <c r="A608" s="2">
        <v>1366</v>
      </c>
      <c r="B608" s="2" t="s">
        <v>57</v>
      </c>
      <c r="C608" s="2" t="s">
        <v>58</v>
      </c>
      <c r="D608" s="2" t="s">
        <v>56</v>
      </c>
      <c r="E608" s="2" t="s">
        <v>42</v>
      </c>
      <c r="F608" s="2" t="s">
        <v>20</v>
      </c>
      <c r="G608" s="2" t="s">
        <v>64</v>
      </c>
      <c r="H608" s="2">
        <v>61</v>
      </c>
      <c r="I608" s="3">
        <v>204</v>
      </c>
      <c r="J608" s="3">
        <v>12444</v>
      </c>
      <c r="K608" s="2">
        <v>10</v>
      </c>
      <c r="L608" s="3">
        <v>11199.6</v>
      </c>
      <c r="M608" s="3">
        <v>6637.83</v>
      </c>
      <c r="N608" s="3">
        <v>4561.7700000000004</v>
      </c>
      <c r="O608" s="4">
        <v>40.729999999999997</v>
      </c>
      <c r="P608" s="2" t="s">
        <v>39</v>
      </c>
    </row>
    <row r="609" spans="1:16" x14ac:dyDescent="0.3">
      <c r="A609" s="5">
        <v>1453</v>
      </c>
      <c r="B609" s="5" t="s">
        <v>54</v>
      </c>
      <c r="C609" s="5" t="s">
        <v>55</v>
      </c>
      <c r="D609" s="5" t="s">
        <v>56</v>
      </c>
      <c r="E609" s="5" t="s">
        <v>42</v>
      </c>
      <c r="F609" s="5" t="s">
        <v>27</v>
      </c>
      <c r="G609" s="5" t="s">
        <v>83</v>
      </c>
      <c r="H609" s="5">
        <v>139</v>
      </c>
      <c r="I609" s="6">
        <v>4893</v>
      </c>
      <c r="J609" s="6">
        <v>680127</v>
      </c>
      <c r="K609" s="5">
        <v>0</v>
      </c>
      <c r="L609" s="6">
        <v>680127</v>
      </c>
      <c r="M609" s="6">
        <v>469158.46</v>
      </c>
      <c r="N609" s="6">
        <v>210968.54</v>
      </c>
      <c r="O609" s="7">
        <v>31.02</v>
      </c>
      <c r="P609" s="5" t="s">
        <v>45</v>
      </c>
    </row>
    <row r="610" spans="1:16" x14ac:dyDescent="0.3">
      <c r="A610" s="2">
        <v>2099</v>
      </c>
      <c r="B610" s="2" t="s">
        <v>76</v>
      </c>
      <c r="C610" s="2" t="s">
        <v>77</v>
      </c>
      <c r="D610" s="2" t="s">
        <v>36</v>
      </c>
      <c r="E610" s="2" t="s">
        <v>44</v>
      </c>
      <c r="F610" s="2" t="s">
        <v>48</v>
      </c>
      <c r="G610" s="2" t="s">
        <v>51</v>
      </c>
      <c r="H610" s="2">
        <v>116</v>
      </c>
      <c r="I610" s="3">
        <v>1808</v>
      </c>
      <c r="J610" s="3">
        <v>209728</v>
      </c>
      <c r="K610" s="2">
        <v>0</v>
      </c>
      <c r="L610" s="3">
        <v>209728</v>
      </c>
      <c r="M610" s="3">
        <v>122985</v>
      </c>
      <c r="N610" s="3">
        <v>86743</v>
      </c>
      <c r="O610" s="4">
        <v>41.36</v>
      </c>
      <c r="P610" s="2" t="s">
        <v>61</v>
      </c>
    </row>
    <row r="611" spans="1:16" x14ac:dyDescent="0.3">
      <c r="A611" s="5">
        <v>1900</v>
      </c>
      <c r="B611" s="5" t="s">
        <v>70</v>
      </c>
      <c r="C611" s="5" t="s">
        <v>71</v>
      </c>
      <c r="D611" s="5" t="s">
        <v>18</v>
      </c>
      <c r="E611" s="5" t="s">
        <v>44</v>
      </c>
      <c r="F611" s="5" t="s">
        <v>48</v>
      </c>
      <c r="G611" s="5" t="s">
        <v>72</v>
      </c>
      <c r="H611" s="5">
        <v>70</v>
      </c>
      <c r="I611" s="6">
        <v>3670</v>
      </c>
      <c r="J611" s="6">
        <v>256900</v>
      </c>
      <c r="K611" s="5">
        <v>15</v>
      </c>
      <c r="L611" s="6">
        <v>218365</v>
      </c>
      <c r="M611" s="6">
        <v>147026.01999999999</v>
      </c>
      <c r="N611" s="6">
        <v>71338.98</v>
      </c>
      <c r="O611" s="7">
        <v>32.67</v>
      </c>
      <c r="P611" s="5" t="s">
        <v>43</v>
      </c>
    </row>
    <row r="612" spans="1:16" x14ac:dyDescent="0.3">
      <c r="A612" s="2">
        <v>1119</v>
      </c>
      <c r="B612" s="2" t="s">
        <v>23</v>
      </c>
      <c r="C612" s="2" t="s">
        <v>24</v>
      </c>
      <c r="D612" s="2" t="s">
        <v>25</v>
      </c>
      <c r="E612" s="2" t="s">
        <v>26</v>
      </c>
      <c r="F612" s="2" t="s">
        <v>20</v>
      </c>
      <c r="G612" s="2" t="s">
        <v>68</v>
      </c>
      <c r="H612" s="2">
        <v>29</v>
      </c>
      <c r="I612" s="3">
        <v>157</v>
      </c>
      <c r="J612" s="3">
        <v>4553</v>
      </c>
      <c r="K612" s="2">
        <v>20</v>
      </c>
      <c r="L612" s="3">
        <v>3642.4</v>
      </c>
      <c r="M612" s="3">
        <v>2306.65</v>
      </c>
      <c r="N612" s="3">
        <v>1335.75</v>
      </c>
      <c r="O612" s="4">
        <v>36.67</v>
      </c>
      <c r="P612" s="2" t="s">
        <v>45</v>
      </c>
    </row>
    <row r="613" spans="1:16" x14ac:dyDescent="0.3">
      <c r="A613" s="5">
        <v>1851</v>
      </c>
      <c r="B613" s="5" t="s">
        <v>70</v>
      </c>
      <c r="C613" s="5" t="s">
        <v>71</v>
      </c>
      <c r="D613" s="5" t="s">
        <v>18</v>
      </c>
      <c r="E613" s="5" t="s">
        <v>42</v>
      </c>
      <c r="F613" s="5" t="s">
        <v>27</v>
      </c>
      <c r="G613" s="5" t="s">
        <v>85</v>
      </c>
      <c r="H613" s="5">
        <v>132</v>
      </c>
      <c r="I613" s="6">
        <v>12058</v>
      </c>
      <c r="J613" s="6">
        <v>1591656</v>
      </c>
      <c r="K613" s="5">
        <v>0</v>
      </c>
      <c r="L613" s="6">
        <v>1591656</v>
      </c>
      <c r="M613" s="6">
        <v>900223.54</v>
      </c>
      <c r="N613" s="6">
        <v>691432.46</v>
      </c>
      <c r="O613" s="7">
        <v>43.44</v>
      </c>
      <c r="P613" s="5" t="s">
        <v>61</v>
      </c>
    </row>
    <row r="614" spans="1:16" x14ac:dyDescent="0.3">
      <c r="A614" s="2">
        <v>1479</v>
      </c>
      <c r="B614" s="2" t="s">
        <v>54</v>
      </c>
      <c r="C614" s="2" t="s">
        <v>55</v>
      </c>
      <c r="D614" s="2" t="s">
        <v>56</v>
      </c>
      <c r="E614" s="2" t="s">
        <v>44</v>
      </c>
      <c r="F614" s="2" t="s">
        <v>27</v>
      </c>
      <c r="G614" s="2" t="s">
        <v>66</v>
      </c>
      <c r="H614" s="2">
        <v>102</v>
      </c>
      <c r="I614" s="3">
        <v>812</v>
      </c>
      <c r="J614" s="3">
        <v>82824</v>
      </c>
      <c r="K614" s="2">
        <v>15</v>
      </c>
      <c r="L614" s="3">
        <v>70400.399999999994</v>
      </c>
      <c r="M614" s="3">
        <v>40681.79</v>
      </c>
      <c r="N614" s="3">
        <v>29718.61</v>
      </c>
      <c r="O614" s="4">
        <v>42.21</v>
      </c>
      <c r="P614" s="2" t="s">
        <v>61</v>
      </c>
    </row>
    <row r="615" spans="1:16" x14ac:dyDescent="0.3">
      <c r="A615" s="5">
        <v>1168</v>
      </c>
      <c r="B615" s="5" t="s">
        <v>23</v>
      </c>
      <c r="C615" s="5" t="s">
        <v>24</v>
      </c>
      <c r="D615" s="5" t="s">
        <v>25</v>
      </c>
      <c r="E615" s="5" t="s">
        <v>42</v>
      </c>
      <c r="F615" s="5" t="s">
        <v>20</v>
      </c>
      <c r="G615" s="5" t="s">
        <v>21</v>
      </c>
      <c r="H615" s="5">
        <v>128</v>
      </c>
      <c r="I615" s="6">
        <v>123</v>
      </c>
      <c r="J615" s="6">
        <v>15744</v>
      </c>
      <c r="K615" s="5">
        <v>20</v>
      </c>
      <c r="L615" s="6">
        <v>12595.2</v>
      </c>
      <c r="M615" s="6">
        <v>8575.5400000000009</v>
      </c>
      <c r="N615" s="6">
        <v>4019.66</v>
      </c>
      <c r="O615" s="7">
        <v>31.91</v>
      </c>
      <c r="P615" s="5" t="s">
        <v>43</v>
      </c>
    </row>
    <row r="616" spans="1:16" x14ac:dyDescent="0.3">
      <c r="A616" s="2">
        <v>1659</v>
      </c>
      <c r="B616" s="2" t="s">
        <v>16</v>
      </c>
      <c r="C616" s="2" t="s">
        <v>17</v>
      </c>
      <c r="D616" s="2" t="s">
        <v>18</v>
      </c>
      <c r="E616" s="2" t="s">
        <v>42</v>
      </c>
      <c r="F616" s="2" t="s">
        <v>37</v>
      </c>
      <c r="G616" s="2" t="s">
        <v>82</v>
      </c>
      <c r="H616" s="2">
        <v>107</v>
      </c>
      <c r="I616" s="3">
        <v>1569</v>
      </c>
      <c r="J616" s="3">
        <v>167883</v>
      </c>
      <c r="K616" s="2">
        <v>0</v>
      </c>
      <c r="L616" s="3">
        <v>167883</v>
      </c>
      <c r="M616" s="3">
        <v>114798.56</v>
      </c>
      <c r="N616" s="3">
        <v>53084.44</v>
      </c>
      <c r="O616" s="4">
        <v>31.62</v>
      </c>
      <c r="P616" s="2" t="s">
        <v>45</v>
      </c>
    </row>
    <row r="617" spans="1:16" x14ac:dyDescent="0.3">
      <c r="A617" s="5">
        <v>1482</v>
      </c>
      <c r="B617" s="5" t="s">
        <v>54</v>
      </c>
      <c r="C617" s="5" t="s">
        <v>55</v>
      </c>
      <c r="D617" s="5" t="s">
        <v>56</v>
      </c>
      <c r="E617" s="5" t="s">
        <v>44</v>
      </c>
      <c r="F617" s="5" t="s">
        <v>37</v>
      </c>
      <c r="G617" s="5" t="s">
        <v>79</v>
      </c>
      <c r="H617" s="5">
        <v>132</v>
      </c>
      <c r="I617" s="6">
        <v>1311</v>
      </c>
      <c r="J617" s="6">
        <v>173052</v>
      </c>
      <c r="K617" s="5">
        <v>20</v>
      </c>
      <c r="L617" s="6">
        <v>138441.60000000001</v>
      </c>
      <c r="M617" s="6">
        <v>84639.06</v>
      </c>
      <c r="N617" s="6">
        <v>53802.54</v>
      </c>
      <c r="O617" s="7">
        <v>38.86</v>
      </c>
      <c r="P617" s="5" t="s">
        <v>39</v>
      </c>
    </row>
    <row r="618" spans="1:16" x14ac:dyDescent="0.3">
      <c r="A618" s="2">
        <v>2172</v>
      </c>
      <c r="B618" s="2" t="s">
        <v>46</v>
      </c>
      <c r="C618" s="2" t="s">
        <v>47</v>
      </c>
      <c r="D618" s="2" t="s">
        <v>36</v>
      </c>
      <c r="E618" s="2" t="s">
        <v>42</v>
      </c>
      <c r="F618" s="2" t="s">
        <v>48</v>
      </c>
      <c r="G618" s="2" t="s">
        <v>78</v>
      </c>
      <c r="H618" s="2">
        <v>33</v>
      </c>
      <c r="I618" s="3">
        <v>581</v>
      </c>
      <c r="J618" s="3">
        <v>19173</v>
      </c>
      <c r="K618" s="2">
        <v>5</v>
      </c>
      <c r="L618" s="3">
        <v>18214.349999999999</v>
      </c>
      <c r="M618" s="3">
        <v>12688.64</v>
      </c>
      <c r="N618" s="3">
        <v>5525.71</v>
      </c>
      <c r="O618" s="4">
        <v>30.34</v>
      </c>
      <c r="P618" s="2" t="s">
        <v>29</v>
      </c>
    </row>
    <row r="619" spans="1:16" x14ac:dyDescent="0.3">
      <c r="A619" s="5">
        <v>1188</v>
      </c>
      <c r="B619" s="5" t="s">
        <v>23</v>
      </c>
      <c r="C619" s="5" t="s">
        <v>24</v>
      </c>
      <c r="D619" s="5" t="s">
        <v>25</v>
      </c>
      <c r="E619" s="5" t="s">
        <v>44</v>
      </c>
      <c r="F619" s="5" t="s">
        <v>32</v>
      </c>
      <c r="G619" s="5" t="s">
        <v>81</v>
      </c>
      <c r="H619" s="5">
        <v>123</v>
      </c>
      <c r="I619" s="6">
        <v>14853</v>
      </c>
      <c r="J619" s="6">
        <v>1826919</v>
      </c>
      <c r="K619" s="5">
        <v>10</v>
      </c>
      <c r="L619" s="6">
        <v>1644227.1</v>
      </c>
      <c r="M619" s="6">
        <v>926596.67</v>
      </c>
      <c r="N619" s="6">
        <v>717630.43</v>
      </c>
      <c r="O619" s="7">
        <v>43.65</v>
      </c>
      <c r="P619" s="5" t="s">
        <v>22</v>
      </c>
    </row>
    <row r="620" spans="1:16" x14ac:dyDescent="0.3">
      <c r="A620" s="2">
        <v>1236</v>
      </c>
      <c r="B620" s="2" t="s">
        <v>52</v>
      </c>
      <c r="C620" s="2" t="s">
        <v>53</v>
      </c>
      <c r="D620" s="2" t="s">
        <v>25</v>
      </c>
      <c r="E620" s="2" t="s">
        <v>19</v>
      </c>
      <c r="F620" s="2" t="s">
        <v>32</v>
      </c>
      <c r="G620" s="2" t="s">
        <v>40</v>
      </c>
      <c r="H620" s="2">
        <v>119</v>
      </c>
      <c r="I620" s="3">
        <v>19304</v>
      </c>
      <c r="J620" s="3">
        <v>2297176</v>
      </c>
      <c r="K620" s="2">
        <v>15</v>
      </c>
      <c r="L620" s="3">
        <v>1952599.6</v>
      </c>
      <c r="M620" s="3">
        <v>1241872.78</v>
      </c>
      <c r="N620" s="3">
        <v>710726.82</v>
      </c>
      <c r="O620" s="4">
        <v>36.4</v>
      </c>
      <c r="P620" s="2" t="s">
        <v>22</v>
      </c>
    </row>
    <row r="621" spans="1:16" x14ac:dyDescent="0.3">
      <c r="A621" s="5">
        <v>1978</v>
      </c>
      <c r="B621" s="5" t="s">
        <v>34</v>
      </c>
      <c r="C621" s="5" t="s">
        <v>35</v>
      </c>
      <c r="D621" s="5" t="s">
        <v>36</v>
      </c>
      <c r="E621" s="5" t="s">
        <v>44</v>
      </c>
      <c r="F621" s="5" t="s">
        <v>27</v>
      </c>
      <c r="G621" s="5" t="s">
        <v>83</v>
      </c>
      <c r="H621" s="5">
        <v>118</v>
      </c>
      <c r="I621" s="6">
        <v>4993</v>
      </c>
      <c r="J621" s="6">
        <v>589174</v>
      </c>
      <c r="K621" s="5">
        <v>5</v>
      </c>
      <c r="L621" s="6">
        <v>559715.30000000005</v>
      </c>
      <c r="M621" s="6">
        <v>357282.7</v>
      </c>
      <c r="N621" s="6">
        <v>202432.6</v>
      </c>
      <c r="O621" s="7">
        <v>36.17</v>
      </c>
      <c r="P621" s="5" t="s">
        <v>39</v>
      </c>
    </row>
    <row r="622" spans="1:16" x14ac:dyDescent="0.3">
      <c r="A622" s="2">
        <v>1789</v>
      </c>
      <c r="B622" s="2" t="s">
        <v>30</v>
      </c>
      <c r="C622" s="2" t="s">
        <v>31</v>
      </c>
      <c r="D622" s="2" t="s">
        <v>18</v>
      </c>
      <c r="E622" s="2" t="s">
        <v>44</v>
      </c>
      <c r="F622" s="2" t="s">
        <v>32</v>
      </c>
      <c r="G622" s="2" t="s">
        <v>33</v>
      </c>
      <c r="H622" s="2">
        <v>35</v>
      </c>
      <c r="I622" s="3">
        <v>10319</v>
      </c>
      <c r="J622" s="3">
        <v>361165</v>
      </c>
      <c r="K622" s="2">
        <v>0</v>
      </c>
      <c r="L622" s="3">
        <v>361165</v>
      </c>
      <c r="M622" s="3">
        <v>247233.82</v>
      </c>
      <c r="N622" s="3">
        <v>113931.18</v>
      </c>
      <c r="O622" s="4">
        <v>31.55</v>
      </c>
      <c r="P622" s="2" t="s">
        <v>22</v>
      </c>
    </row>
    <row r="623" spans="1:16" x14ac:dyDescent="0.3">
      <c r="A623" s="5">
        <v>1724</v>
      </c>
      <c r="B623" s="5" t="s">
        <v>30</v>
      </c>
      <c r="C623" s="5" t="s">
        <v>31</v>
      </c>
      <c r="D623" s="5" t="s">
        <v>18</v>
      </c>
      <c r="E623" s="5" t="s">
        <v>26</v>
      </c>
      <c r="F623" s="5" t="s">
        <v>48</v>
      </c>
      <c r="G623" s="5" t="s">
        <v>51</v>
      </c>
      <c r="H623" s="5">
        <v>70</v>
      </c>
      <c r="I623" s="6">
        <v>1871</v>
      </c>
      <c r="J623" s="6">
        <v>130970</v>
      </c>
      <c r="K623" s="5">
        <v>0</v>
      </c>
      <c r="L623" s="6">
        <v>130970</v>
      </c>
      <c r="M623" s="6">
        <v>75706.75</v>
      </c>
      <c r="N623" s="6">
        <v>55263.25</v>
      </c>
      <c r="O623" s="7">
        <v>42.2</v>
      </c>
      <c r="P623" s="5" t="s">
        <v>61</v>
      </c>
    </row>
    <row r="624" spans="1:16" x14ac:dyDescent="0.3">
      <c r="A624" s="2">
        <v>2193</v>
      </c>
      <c r="B624" s="2" t="s">
        <v>46</v>
      </c>
      <c r="C624" s="2" t="s">
        <v>47</v>
      </c>
      <c r="D624" s="2" t="s">
        <v>36</v>
      </c>
      <c r="E624" s="2" t="s">
        <v>44</v>
      </c>
      <c r="F624" s="2" t="s">
        <v>20</v>
      </c>
      <c r="G624" s="2" t="s">
        <v>21</v>
      </c>
      <c r="H624" s="2">
        <v>49</v>
      </c>
      <c r="I624" s="3">
        <v>112</v>
      </c>
      <c r="J624" s="3">
        <v>5488</v>
      </c>
      <c r="K624" s="2">
        <v>5</v>
      </c>
      <c r="L624" s="3">
        <v>5213.6000000000004</v>
      </c>
      <c r="M624" s="3">
        <v>3517.8</v>
      </c>
      <c r="N624" s="3">
        <v>1695.8</v>
      </c>
      <c r="O624" s="4">
        <v>32.53</v>
      </c>
      <c r="P624" s="2" t="s">
        <v>29</v>
      </c>
    </row>
    <row r="625" spans="1:16" x14ac:dyDescent="0.3">
      <c r="A625" s="5">
        <v>1976</v>
      </c>
      <c r="B625" s="5" t="s">
        <v>34</v>
      </c>
      <c r="C625" s="5" t="s">
        <v>35</v>
      </c>
      <c r="D625" s="5" t="s">
        <v>36</v>
      </c>
      <c r="E625" s="5" t="s">
        <v>44</v>
      </c>
      <c r="F625" s="5" t="s">
        <v>27</v>
      </c>
      <c r="G625" s="5" t="s">
        <v>85</v>
      </c>
      <c r="H625" s="5">
        <v>164</v>
      </c>
      <c r="I625" s="6">
        <v>13105</v>
      </c>
      <c r="J625" s="6">
        <v>2149220</v>
      </c>
      <c r="K625" s="5">
        <v>0</v>
      </c>
      <c r="L625" s="6">
        <v>2149220</v>
      </c>
      <c r="M625" s="6">
        <v>1382773.87</v>
      </c>
      <c r="N625" s="6">
        <v>766446.13</v>
      </c>
      <c r="O625" s="7">
        <v>35.659999999999997</v>
      </c>
      <c r="P625" s="5" t="s">
        <v>50</v>
      </c>
    </row>
    <row r="626" spans="1:16" x14ac:dyDescent="0.3">
      <c r="A626" s="2">
        <v>1570</v>
      </c>
      <c r="B626" s="2" t="s">
        <v>73</v>
      </c>
      <c r="C626" s="2" t="s">
        <v>74</v>
      </c>
      <c r="D626" s="2" t="s">
        <v>56</v>
      </c>
      <c r="E626" s="2" t="s">
        <v>42</v>
      </c>
      <c r="F626" s="2" t="s">
        <v>20</v>
      </c>
      <c r="G626" s="2" t="s">
        <v>60</v>
      </c>
      <c r="H626" s="2">
        <v>43</v>
      </c>
      <c r="I626" s="3">
        <v>85</v>
      </c>
      <c r="J626" s="3">
        <v>3655</v>
      </c>
      <c r="K626" s="2">
        <v>5</v>
      </c>
      <c r="L626" s="3">
        <v>3472.25</v>
      </c>
      <c r="M626" s="3">
        <v>2238.2600000000002</v>
      </c>
      <c r="N626" s="3">
        <v>1233.99</v>
      </c>
      <c r="O626" s="4">
        <v>35.54</v>
      </c>
      <c r="P626" s="2" t="s">
        <v>43</v>
      </c>
    </row>
    <row r="627" spans="1:16" x14ac:dyDescent="0.3">
      <c r="A627" s="5">
        <v>2078</v>
      </c>
      <c r="B627" s="5" t="s">
        <v>76</v>
      </c>
      <c r="C627" s="5" t="s">
        <v>77</v>
      </c>
      <c r="D627" s="5" t="s">
        <v>36</v>
      </c>
      <c r="E627" s="5" t="s">
        <v>44</v>
      </c>
      <c r="F627" s="5" t="s">
        <v>27</v>
      </c>
      <c r="G627" s="5" t="s">
        <v>83</v>
      </c>
      <c r="H627" s="5">
        <v>168</v>
      </c>
      <c r="I627" s="6">
        <v>5192</v>
      </c>
      <c r="J627" s="6">
        <v>872256</v>
      </c>
      <c r="K627" s="5">
        <v>10</v>
      </c>
      <c r="L627" s="6">
        <v>785030.4</v>
      </c>
      <c r="M627" s="6">
        <v>462069.28</v>
      </c>
      <c r="N627" s="6">
        <v>322961.12</v>
      </c>
      <c r="O627" s="7">
        <v>41.14</v>
      </c>
      <c r="P627" s="5" t="s">
        <v>29</v>
      </c>
    </row>
    <row r="628" spans="1:16" x14ac:dyDescent="0.3">
      <c r="A628" s="2">
        <v>2029</v>
      </c>
      <c r="B628" s="2" t="s">
        <v>76</v>
      </c>
      <c r="C628" s="2" t="s">
        <v>77</v>
      </c>
      <c r="D628" s="2" t="s">
        <v>36</v>
      </c>
      <c r="E628" s="2" t="s">
        <v>19</v>
      </c>
      <c r="F628" s="2" t="s">
        <v>27</v>
      </c>
      <c r="G628" s="2" t="s">
        <v>66</v>
      </c>
      <c r="H628" s="2">
        <v>62</v>
      </c>
      <c r="I628" s="3">
        <v>831</v>
      </c>
      <c r="J628" s="3">
        <v>51522</v>
      </c>
      <c r="K628" s="2">
        <v>15</v>
      </c>
      <c r="L628" s="3">
        <v>43793.7</v>
      </c>
      <c r="M628" s="3">
        <v>29238.74</v>
      </c>
      <c r="N628" s="3">
        <v>14554.96</v>
      </c>
      <c r="O628" s="4">
        <v>33.24</v>
      </c>
      <c r="P628" s="2" t="s">
        <v>22</v>
      </c>
    </row>
    <row r="629" spans="1:16" x14ac:dyDescent="0.3">
      <c r="A629" s="5">
        <v>1324</v>
      </c>
      <c r="B629" s="5" t="s">
        <v>57</v>
      </c>
      <c r="C629" s="5" t="s">
        <v>58</v>
      </c>
      <c r="D629" s="5" t="s">
        <v>56</v>
      </c>
      <c r="E629" s="5" t="s">
        <v>26</v>
      </c>
      <c r="F629" s="5" t="s">
        <v>48</v>
      </c>
      <c r="G629" s="5" t="s">
        <v>51</v>
      </c>
      <c r="H629" s="5">
        <v>120</v>
      </c>
      <c r="I629" s="6">
        <v>1863</v>
      </c>
      <c r="J629" s="6">
        <v>223560</v>
      </c>
      <c r="K629" s="5">
        <v>15</v>
      </c>
      <c r="L629" s="6">
        <v>190026</v>
      </c>
      <c r="M629" s="6">
        <v>118317.35</v>
      </c>
      <c r="N629" s="6">
        <v>71708.649999999994</v>
      </c>
      <c r="O629" s="7">
        <v>37.74</v>
      </c>
      <c r="P629" s="5" t="s">
        <v>45</v>
      </c>
    </row>
    <row r="630" spans="1:16" x14ac:dyDescent="0.3">
      <c r="A630" s="2">
        <v>1169</v>
      </c>
      <c r="B630" s="2" t="s">
        <v>23</v>
      </c>
      <c r="C630" s="2" t="s">
        <v>24</v>
      </c>
      <c r="D630" s="2" t="s">
        <v>25</v>
      </c>
      <c r="E630" s="2" t="s">
        <v>42</v>
      </c>
      <c r="F630" s="2" t="s">
        <v>20</v>
      </c>
      <c r="G630" s="2" t="s">
        <v>68</v>
      </c>
      <c r="H630" s="2">
        <v>89</v>
      </c>
      <c r="I630" s="3">
        <v>142</v>
      </c>
      <c r="J630" s="3">
        <v>12638</v>
      </c>
      <c r="K630" s="2">
        <v>5</v>
      </c>
      <c r="L630" s="3">
        <v>12006.1</v>
      </c>
      <c r="M630" s="3">
        <v>8399.6299999999992</v>
      </c>
      <c r="N630" s="3">
        <v>3606.47</v>
      </c>
      <c r="O630" s="4">
        <v>30.04</v>
      </c>
      <c r="P630" s="2" t="s">
        <v>29</v>
      </c>
    </row>
    <row r="631" spans="1:16" x14ac:dyDescent="0.3">
      <c r="A631" s="5">
        <v>2010</v>
      </c>
      <c r="B631" s="5" t="s">
        <v>76</v>
      </c>
      <c r="C631" s="5" t="s">
        <v>77</v>
      </c>
      <c r="D631" s="5" t="s">
        <v>36</v>
      </c>
      <c r="E631" s="5" t="s">
        <v>26</v>
      </c>
      <c r="F631" s="5" t="s">
        <v>37</v>
      </c>
      <c r="G631" s="5" t="s">
        <v>67</v>
      </c>
      <c r="H631" s="5">
        <v>31</v>
      </c>
      <c r="I631" s="6">
        <v>1956</v>
      </c>
      <c r="J631" s="6">
        <v>60636</v>
      </c>
      <c r="K631" s="5">
        <v>0</v>
      </c>
      <c r="L631" s="6">
        <v>60636</v>
      </c>
      <c r="M631" s="6">
        <v>36381.199999999997</v>
      </c>
      <c r="N631" s="6">
        <v>24254.799999999999</v>
      </c>
      <c r="O631" s="7">
        <v>40</v>
      </c>
      <c r="P631" s="5" t="s">
        <v>43</v>
      </c>
    </row>
    <row r="632" spans="1:16" x14ac:dyDescent="0.3">
      <c r="A632" s="2">
        <v>1814</v>
      </c>
      <c r="B632" s="2" t="s">
        <v>70</v>
      </c>
      <c r="C632" s="2" t="s">
        <v>71</v>
      </c>
      <c r="D632" s="2" t="s">
        <v>18</v>
      </c>
      <c r="E632" s="2" t="s">
        <v>26</v>
      </c>
      <c r="F632" s="2" t="s">
        <v>32</v>
      </c>
      <c r="G632" s="2" t="s">
        <v>33</v>
      </c>
      <c r="H632" s="2">
        <v>74</v>
      </c>
      <c r="I632" s="3">
        <v>9234</v>
      </c>
      <c r="J632" s="3">
        <v>683316</v>
      </c>
      <c r="K632" s="2">
        <v>5</v>
      </c>
      <c r="L632" s="3">
        <v>649150.19999999995</v>
      </c>
      <c r="M632" s="3">
        <v>442341.95</v>
      </c>
      <c r="N632" s="3">
        <v>206808.25</v>
      </c>
      <c r="O632" s="4">
        <v>31.86</v>
      </c>
      <c r="P632" s="2" t="s">
        <v>50</v>
      </c>
    </row>
    <row r="633" spans="1:16" x14ac:dyDescent="0.3">
      <c r="A633" s="5">
        <v>1530</v>
      </c>
      <c r="B633" s="5" t="s">
        <v>73</v>
      </c>
      <c r="C633" s="5" t="s">
        <v>74</v>
      </c>
      <c r="D633" s="5" t="s">
        <v>56</v>
      </c>
      <c r="E633" s="5" t="s">
        <v>19</v>
      </c>
      <c r="F633" s="5" t="s">
        <v>27</v>
      </c>
      <c r="G633" s="5" t="s">
        <v>84</v>
      </c>
      <c r="H633" s="5">
        <v>36</v>
      </c>
      <c r="I633" s="6">
        <v>15337</v>
      </c>
      <c r="J633" s="6">
        <v>552132</v>
      </c>
      <c r="K633" s="5">
        <v>0</v>
      </c>
      <c r="L633" s="6">
        <v>552132</v>
      </c>
      <c r="M633" s="6">
        <v>329287.94</v>
      </c>
      <c r="N633" s="6">
        <v>222844.06</v>
      </c>
      <c r="O633" s="7">
        <v>40.36</v>
      </c>
      <c r="P633" s="5" t="s">
        <v>61</v>
      </c>
    </row>
    <row r="634" spans="1:16" x14ac:dyDescent="0.3">
      <c r="A634" s="2">
        <v>1271</v>
      </c>
      <c r="B634" s="2" t="s">
        <v>52</v>
      </c>
      <c r="C634" s="2" t="s">
        <v>53</v>
      </c>
      <c r="D634" s="2" t="s">
        <v>25</v>
      </c>
      <c r="E634" s="2" t="s">
        <v>42</v>
      </c>
      <c r="F634" s="2" t="s">
        <v>48</v>
      </c>
      <c r="G634" s="2" t="s">
        <v>69</v>
      </c>
      <c r="H634" s="2">
        <v>120</v>
      </c>
      <c r="I634" s="3">
        <v>1102</v>
      </c>
      <c r="J634" s="3">
        <v>132240</v>
      </c>
      <c r="K634" s="2">
        <v>5</v>
      </c>
      <c r="L634" s="3">
        <v>125628</v>
      </c>
      <c r="M634" s="3">
        <v>84485.52</v>
      </c>
      <c r="N634" s="3">
        <v>41142.480000000003</v>
      </c>
      <c r="O634" s="4">
        <v>32.75</v>
      </c>
      <c r="P634" s="2" t="s">
        <v>41</v>
      </c>
    </row>
    <row r="635" spans="1:16" x14ac:dyDescent="0.3">
      <c r="A635" s="5">
        <v>1628</v>
      </c>
      <c r="B635" s="5" t="s">
        <v>16</v>
      </c>
      <c r="C635" s="5" t="s">
        <v>17</v>
      </c>
      <c r="D635" s="5" t="s">
        <v>18</v>
      </c>
      <c r="E635" s="5" t="s">
        <v>19</v>
      </c>
      <c r="F635" s="5" t="s">
        <v>27</v>
      </c>
      <c r="G635" s="5" t="s">
        <v>83</v>
      </c>
      <c r="H635" s="5">
        <v>41</v>
      </c>
      <c r="I635" s="6">
        <v>5351</v>
      </c>
      <c r="J635" s="6">
        <v>219391</v>
      </c>
      <c r="K635" s="5">
        <v>0</v>
      </c>
      <c r="L635" s="6">
        <v>219391</v>
      </c>
      <c r="M635" s="6">
        <v>126382.51</v>
      </c>
      <c r="N635" s="6">
        <v>93008.49</v>
      </c>
      <c r="O635" s="7">
        <v>42.39</v>
      </c>
      <c r="P635" s="5" t="s">
        <v>45</v>
      </c>
    </row>
    <row r="636" spans="1:16" x14ac:dyDescent="0.3">
      <c r="A636" s="2">
        <v>1270</v>
      </c>
      <c r="B636" s="2" t="s">
        <v>52</v>
      </c>
      <c r="C636" s="2" t="s">
        <v>53</v>
      </c>
      <c r="D636" s="2" t="s">
        <v>25</v>
      </c>
      <c r="E636" s="2" t="s">
        <v>42</v>
      </c>
      <c r="F636" s="2" t="s">
        <v>20</v>
      </c>
      <c r="G636" s="2" t="s">
        <v>60</v>
      </c>
      <c r="H636" s="2">
        <v>53</v>
      </c>
      <c r="I636" s="3">
        <v>95</v>
      </c>
      <c r="J636" s="3">
        <v>5035</v>
      </c>
      <c r="K636" s="2">
        <v>5</v>
      </c>
      <c r="L636" s="3">
        <v>4783.25</v>
      </c>
      <c r="M636" s="3">
        <v>2953.17</v>
      </c>
      <c r="N636" s="3">
        <v>1830.08</v>
      </c>
      <c r="O636" s="4">
        <v>38.26</v>
      </c>
      <c r="P636" s="2" t="s">
        <v>61</v>
      </c>
    </row>
    <row r="637" spans="1:16" x14ac:dyDescent="0.3">
      <c r="A637" s="5">
        <v>1726</v>
      </c>
      <c r="B637" s="5" t="s">
        <v>30</v>
      </c>
      <c r="C637" s="5" t="s">
        <v>31</v>
      </c>
      <c r="D637" s="5" t="s">
        <v>18</v>
      </c>
      <c r="E637" s="5" t="s">
        <v>19</v>
      </c>
      <c r="F637" s="5" t="s">
        <v>27</v>
      </c>
      <c r="G637" s="5" t="s">
        <v>85</v>
      </c>
      <c r="H637" s="5">
        <v>38</v>
      </c>
      <c r="I637" s="6">
        <v>12202</v>
      </c>
      <c r="J637" s="6">
        <v>463676</v>
      </c>
      <c r="K637" s="5">
        <v>5</v>
      </c>
      <c r="L637" s="6">
        <v>440492.2</v>
      </c>
      <c r="M637" s="6">
        <v>242643.71</v>
      </c>
      <c r="N637" s="6">
        <v>197848.49</v>
      </c>
      <c r="O637" s="7">
        <v>44.92</v>
      </c>
      <c r="P637" s="5" t="s">
        <v>39</v>
      </c>
    </row>
    <row r="638" spans="1:16" x14ac:dyDescent="0.3">
      <c r="A638" s="2">
        <v>1441</v>
      </c>
      <c r="B638" s="2" t="s">
        <v>54</v>
      </c>
      <c r="C638" s="2" t="s">
        <v>55</v>
      </c>
      <c r="D638" s="2" t="s">
        <v>56</v>
      </c>
      <c r="E638" s="2" t="s">
        <v>19</v>
      </c>
      <c r="F638" s="2" t="s">
        <v>20</v>
      </c>
      <c r="G638" s="2" t="s">
        <v>64</v>
      </c>
      <c r="H638" s="2">
        <v>33</v>
      </c>
      <c r="I638" s="3">
        <v>183</v>
      </c>
      <c r="J638" s="3">
        <v>6039</v>
      </c>
      <c r="K638" s="2">
        <v>15</v>
      </c>
      <c r="L638" s="3">
        <v>5133.1499999999996</v>
      </c>
      <c r="M638" s="3">
        <v>3168.83</v>
      </c>
      <c r="N638" s="3">
        <v>1964.32</v>
      </c>
      <c r="O638" s="4">
        <v>38.270000000000003</v>
      </c>
      <c r="P638" s="2" t="s">
        <v>22</v>
      </c>
    </row>
    <row r="639" spans="1:16" x14ac:dyDescent="0.3">
      <c r="A639" s="5">
        <v>2050</v>
      </c>
      <c r="B639" s="5" t="s">
        <v>76</v>
      </c>
      <c r="C639" s="5" t="s">
        <v>77</v>
      </c>
      <c r="D639" s="5" t="s">
        <v>36</v>
      </c>
      <c r="E639" s="5" t="s">
        <v>19</v>
      </c>
      <c r="F639" s="5" t="s">
        <v>48</v>
      </c>
      <c r="G639" s="5" t="s">
        <v>72</v>
      </c>
      <c r="H639" s="5">
        <v>126</v>
      </c>
      <c r="I639" s="6">
        <v>3823</v>
      </c>
      <c r="J639" s="6">
        <v>481698</v>
      </c>
      <c r="K639" s="5">
        <v>0</v>
      </c>
      <c r="L639" s="6">
        <v>481698</v>
      </c>
      <c r="M639" s="6">
        <v>275200.39</v>
      </c>
      <c r="N639" s="6">
        <v>206497.61</v>
      </c>
      <c r="O639" s="7">
        <v>42.87</v>
      </c>
      <c r="P639" s="5" t="s">
        <v>50</v>
      </c>
    </row>
    <row r="640" spans="1:16" x14ac:dyDescent="0.3">
      <c r="A640" s="2">
        <v>1288</v>
      </c>
      <c r="B640" s="2" t="s">
        <v>52</v>
      </c>
      <c r="C640" s="2" t="s">
        <v>53</v>
      </c>
      <c r="D640" s="2" t="s">
        <v>25</v>
      </c>
      <c r="E640" s="2" t="s">
        <v>44</v>
      </c>
      <c r="F640" s="2" t="s">
        <v>32</v>
      </c>
      <c r="G640" s="2" t="s">
        <v>81</v>
      </c>
      <c r="H640" s="2">
        <v>101</v>
      </c>
      <c r="I640" s="3">
        <v>15242</v>
      </c>
      <c r="J640" s="3">
        <v>1539442</v>
      </c>
      <c r="K640" s="2">
        <v>0</v>
      </c>
      <c r="L640" s="3">
        <v>1539442</v>
      </c>
      <c r="M640" s="3">
        <v>914453.77</v>
      </c>
      <c r="N640" s="3">
        <v>624988.23</v>
      </c>
      <c r="O640" s="4">
        <v>40.6</v>
      </c>
      <c r="P640" s="2" t="s">
        <v>43</v>
      </c>
    </row>
    <row r="641" spans="1:16" x14ac:dyDescent="0.3">
      <c r="A641" s="5">
        <v>1512</v>
      </c>
      <c r="B641" s="5" t="s">
        <v>73</v>
      </c>
      <c r="C641" s="5" t="s">
        <v>74</v>
      </c>
      <c r="D641" s="5" t="s">
        <v>56</v>
      </c>
      <c r="E641" s="5" t="s">
        <v>26</v>
      </c>
      <c r="F641" s="5" t="s">
        <v>32</v>
      </c>
      <c r="G641" s="5" t="s">
        <v>75</v>
      </c>
      <c r="H641" s="5">
        <v>125</v>
      </c>
      <c r="I641" s="6">
        <v>12425</v>
      </c>
      <c r="J641" s="6">
        <v>1553125</v>
      </c>
      <c r="K641" s="5">
        <v>0</v>
      </c>
      <c r="L641" s="6">
        <v>1553125</v>
      </c>
      <c r="M641" s="6">
        <v>977810.6</v>
      </c>
      <c r="N641" s="6">
        <v>575314.4</v>
      </c>
      <c r="O641" s="7">
        <v>37.04</v>
      </c>
      <c r="P641" s="5" t="s">
        <v>43</v>
      </c>
    </row>
    <row r="642" spans="1:16" x14ac:dyDescent="0.3">
      <c r="A642" s="2">
        <v>1131</v>
      </c>
      <c r="B642" s="2" t="s">
        <v>23</v>
      </c>
      <c r="C642" s="2" t="s">
        <v>24</v>
      </c>
      <c r="D642" s="2" t="s">
        <v>25</v>
      </c>
      <c r="E642" s="2" t="s">
        <v>19</v>
      </c>
      <c r="F642" s="2" t="s">
        <v>37</v>
      </c>
      <c r="G642" s="2" t="s">
        <v>59</v>
      </c>
      <c r="H642" s="2">
        <v>76</v>
      </c>
      <c r="I642" s="3">
        <v>519</v>
      </c>
      <c r="J642" s="3">
        <v>39444</v>
      </c>
      <c r="K642" s="2">
        <v>0</v>
      </c>
      <c r="L642" s="3">
        <v>39444</v>
      </c>
      <c r="M642" s="3">
        <v>22576.94</v>
      </c>
      <c r="N642" s="3">
        <v>16867.060000000001</v>
      </c>
      <c r="O642" s="4">
        <v>42.76</v>
      </c>
      <c r="P642" s="2" t="s">
        <v>50</v>
      </c>
    </row>
    <row r="643" spans="1:16" x14ac:dyDescent="0.3">
      <c r="A643" s="5">
        <v>2097</v>
      </c>
      <c r="B643" s="5" t="s">
        <v>76</v>
      </c>
      <c r="C643" s="5" t="s">
        <v>77</v>
      </c>
      <c r="D643" s="5" t="s">
        <v>36</v>
      </c>
      <c r="E643" s="5" t="s">
        <v>44</v>
      </c>
      <c r="F643" s="5" t="s">
        <v>48</v>
      </c>
      <c r="G643" s="5" t="s">
        <v>78</v>
      </c>
      <c r="H643" s="5">
        <v>101</v>
      </c>
      <c r="I643" s="6">
        <v>565</v>
      </c>
      <c r="J643" s="6">
        <v>57065</v>
      </c>
      <c r="K643" s="5">
        <v>20</v>
      </c>
      <c r="L643" s="6">
        <v>45652</v>
      </c>
      <c r="M643" s="6">
        <v>31546.15</v>
      </c>
      <c r="N643" s="6">
        <v>14105.85</v>
      </c>
      <c r="O643" s="7">
        <v>30.9</v>
      </c>
      <c r="P643" s="5" t="s">
        <v>61</v>
      </c>
    </row>
    <row r="644" spans="1:16" x14ac:dyDescent="0.3">
      <c r="A644" s="2">
        <v>1940</v>
      </c>
      <c r="B644" s="2" t="s">
        <v>34</v>
      </c>
      <c r="C644" s="2" t="s">
        <v>35</v>
      </c>
      <c r="D644" s="2" t="s">
        <v>36</v>
      </c>
      <c r="E644" s="2" t="s">
        <v>19</v>
      </c>
      <c r="F644" s="2" t="s">
        <v>32</v>
      </c>
      <c r="G644" s="2" t="s">
        <v>65</v>
      </c>
      <c r="H644" s="2">
        <v>98</v>
      </c>
      <c r="I644" s="3">
        <v>5210</v>
      </c>
      <c r="J644" s="3">
        <v>510580</v>
      </c>
      <c r="K644" s="2">
        <v>10</v>
      </c>
      <c r="L644" s="3">
        <v>459522</v>
      </c>
      <c r="M644" s="3">
        <v>286144.03999999998</v>
      </c>
      <c r="N644" s="3">
        <v>173377.96</v>
      </c>
      <c r="O644" s="4">
        <v>37.729999999999997</v>
      </c>
      <c r="P644" s="2" t="s">
        <v>29</v>
      </c>
    </row>
    <row r="645" spans="1:16" x14ac:dyDescent="0.3">
      <c r="A645" s="5">
        <v>1120</v>
      </c>
      <c r="B645" s="5" t="s">
        <v>23</v>
      </c>
      <c r="C645" s="5" t="s">
        <v>24</v>
      </c>
      <c r="D645" s="5" t="s">
        <v>25</v>
      </c>
      <c r="E645" s="5" t="s">
        <v>26</v>
      </c>
      <c r="F645" s="5" t="s">
        <v>20</v>
      </c>
      <c r="G645" s="5" t="s">
        <v>60</v>
      </c>
      <c r="H645" s="5">
        <v>102</v>
      </c>
      <c r="I645" s="6">
        <v>93</v>
      </c>
      <c r="J645" s="6">
        <v>9486</v>
      </c>
      <c r="K645" s="5">
        <v>20</v>
      </c>
      <c r="L645" s="6">
        <v>7588.8</v>
      </c>
      <c r="M645" s="6">
        <v>4684.01</v>
      </c>
      <c r="N645" s="6">
        <v>2904.79</v>
      </c>
      <c r="O645" s="7">
        <v>38.28</v>
      </c>
      <c r="P645" s="5" t="s">
        <v>43</v>
      </c>
    </row>
    <row r="646" spans="1:16" x14ac:dyDescent="0.3">
      <c r="A646" s="2">
        <v>1671</v>
      </c>
      <c r="B646" s="2" t="s">
        <v>16</v>
      </c>
      <c r="C646" s="2" t="s">
        <v>17</v>
      </c>
      <c r="D646" s="2" t="s">
        <v>18</v>
      </c>
      <c r="E646" s="2" t="s">
        <v>42</v>
      </c>
      <c r="F646" s="2" t="s">
        <v>48</v>
      </c>
      <c r="G646" s="2" t="s">
        <v>69</v>
      </c>
      <c r="H646" s="2">
        <v>104</v>
      </c>
      <c r="I646" s="3">
        <v>1228</v>
      </c>
      <c r="J646" s="3">
        <v>127712</v>
      </c>
      <c r="K646" s="2">
        <v>5</v>
      </c>
      <c r="L646" s="3">
        <v>121326.39999999999</v>
      </c>
      <c r="M646" s="3">
        <v>68804.429999999993</v>
      </c>
      <c r="N646" s="3">
        <v>52521.97</v>
      </c>
      <c r="O646" s="4">
        <v>43.29</v>
      </c>
      <c r="P646" s="2" t="s">
        <v>29</v>
      </c>
    </row>
    <row r="647" spans="1:16" x14ac:dyDescent="0.3">
      <c r="A647" s="5">
        <v>1146</v>
      </c>
      <c r="B647" s="5" t="s">
        <v>23</v>
      </c>
      <c r="C647" s="5" t="s">
        <v>24</v>
      </c>
      <c r="D647" s="5" t="s">
        <v>25</v>
      </c>
      <c r="E647" s="5" t="s">
        <v>19</v>
      </c>
      <c r="F647" s="5" t="s">
        <v>48</v>
      </c>
      <c r="G647" s="5" t="s">
        <v>69</v>
      </c>
      <c r="H647" s="5">
        <v>82</v>
      </c>
      <c r="I647" s="6">
        <v>1198</v>
      </c>
      <c r="J647" s="6">
        <v>98236</v>
      </c>
      <c r="K647" s="5">
        <v>0</v>
      </c>
      <c r="L647" s="6">
        <v>98236</v>
      </c>
      <c r="M647" s="6">
        <v>60955.59</v>
      </c>
      <c r="N647" s="6">
        <v>37280.410000000003</v>
      </c>
      <c r="O647" s="7">
        <v>37.950000000000003</v>
      </c>
      <c r="P647" s="5" t="s">
        <v>22</v>
      </c>
    </row>
    <row r="648" spans="1:16" x14ac:dyDescent="0.3">
      <c r="A648" s="2">
        <v>1444</v>
      </c>
      <c r="B648" s="2" t="s">
        <v>54</v>
      </c>
      <c r="C648" s="2" t="s">
        <v>55</v>
      </c>
      <c r="D648" s="2" t="s">
        <v>56</v>
      </c>
      <c r="E648" s="2" t="s">
        <v>19</v>
      </c>
      <c r="F648" s="2" t="s">
        <v>20</v>
      </c>
      <c r="G648" s="2" t="s">
        <v>68</v>
      </c>
      <c r="H648" s="2">
        <v>113</v>
      </c>
      <c r="I648" s="3">
        <v>152</v>
      </c>
      <c r="J648" s="3">
        <v>17176</v>
      </c>
      <c r="K648" s="2">
        <v>5</v>
      </c>
      <c r="L648" s="3">
        <v>16317.2</v>
      </c>
      <c r="M648" s="3">
        <v>10374.379999999999</v>
      </c>
      <c r="N648" s="3">
        <v>5942.82</v>
      </c>
      <c r="O648" s="4">
        <v>36.42</v>
      </c>
      <c r="P648" s="2" t="s">
        <v>61</v>
      </c>
    </row>
    <row r="649" spans="1:16" x14ac:dyDescent="0.3">
      <c r="A649" s="5">
        <v>2075</v>
      </c>
      <c r="B649" s="5" t="s">
        <v>76</v>
      </c>
      <c r="C649" s="5" t="s">
        <v>77</v>
      </c>
      <c r="D649" s="5" t="s">
        <v>36</v>
      </c>
      <c r="E649" s="5" t="s">
        <v>42</v>
      </c>
      <c r="F649" s="5" t="s">
        <v>48</v>
      </c>
      <c r="G649" s="5" t="s">
        <v>72</v>
      </c>
      <c r="H649" s="5">
        <v>211</v>
      </c>
      <c r="I649" s="6">
        <v>3597</v>
      </c>
      <c r="J649" s="6">
        <v>758967</v>
      </c>
      <c r="K649" s="5">
        <v>0</v>
      </c>
      <c r="L649" s="6">
        <v>758967</v>
      </c>
      <c r="M649" s="6">
        <v>427266.51</v>
      </c>
      <c r="N649" s="6">
        <v>331700.49</v>
      </c>
      <c r="O649" s="7">
        <v>43.7</v>
      </c>
      <c r="P649" s="5" t="s">
        <v>61</v>
      </c>
    </row>
    <row r="650" spans="1:16" x14ac:dyDescent="0.3">
      <c r="A650" s="2">
        <v>1856</v>
      </c>
      <c r="B650" s="2" t="s">
        <v>70</v>
      </c>
      <c r="C650" s="2" t="s">
        <v>71</v>
      </c>
      <c r="D650" s="2" t="s">
        <v>18</v>
      </c>
      <c r="E650" s="2" t="s">
        <v>42</v>
      </c>
      <c r="F650" s="2" t="s">
        <v>37</v>
      </c>
      <c r="G650" s="2" t="s">
        <v>59</v>
      </c>
      <c r="H650" s="2">
        <v>161</v>
      </c>
      <c r="I650" s="3">
        <v>520</v>
      </c>
      <c r="J650" s="3">
        <v>83720</v>
      </c>
      <c r="K650" s="2">
        <v>0</v>
      </c>
      <c r="L650" s="3">
        <v>83720</v>
      </c>
      <c r="M650" s="3">
        <v>53465.65</v>
      </c>
      <c r="N650" s="3">
        <v>30254.35</v>
      </c>
      <c r="O650" s="4">
        <v>36.14</v>
      </c>
      <c r="P650" s="2" t="s">
        <v>39</v>
      </c>
    </row>
    <row r="651" spans="1:16" x14ac:dyDescent="0.3">
      <c r="A651" s="5">
        <v>1752</v>
      </c>
      <c r="B651" s="5" t="s">
        <v>30</v>
      </c>
      <c r="C651" s="5" t="s">
        <v>31</v>
      </c>
      <c r="D651" s="5" t="s">
        <v>18</v>
      </c>
      <c r="E651" s="5" t="s">
        <v>42</v>
      </c>
      <c r="F651" s="5" t="s">
        <v>27</v>
      </c>
      <c r="G651" s="5" t="s">
        <v>28</v>
      </c>
      <c r="H651" s="5">
        <v>115</v>
      </c>
      <c r="I651" s="6">
        <v>7604</v>
      </c>
      <c r="J651" s="6">
        <v>874460</v>
      </c>
      <c r="K651" s="5">
        <v>0</v>
      </c>
      <c r="L651" s="6">
        <v>874460</v>
      </c>
      <c r="M651" s="6">
        <v>504741.55</v>
      </c>
      <c r="N651" s="6">
        <v>369718.45</v>
      </c>
      <c r="O651" s="7">
        <v>42.28</v>
      </c>
      <c r="P651" s="5" t="s">
        <v>43</v>
      </c>
    </row>
    <row r="652" spans="1:16" x14ac:dyDescent="0.3">
      <c r="A652" s="2">
        <v>1676</v>
      </c>
      <c r="B652" s="2" t="s">
        <v>16</v>
      </c>
      <c r="C652" s="2" t="s">
        <v>17</v>
      </c>
      <c r="D652" s="2" t="s">
        <v>18</v>
      </c>
      <c r="E652" s="2" t="s">
        <v>44</v>
      </c>
      <c r="F652" s="2" t="s">
        <v>27</v>
      </c>
      <c r="G652" s="2" t="s">
        <v>85</v>
      </c>
      <c r="H652" s="2">
        <v>45</v>
      </c>
      <c r="I652" s="3">
        <v>11016</v>
      </c>
      <c r="J652" s="3">
        <v>495720</v>
      </c>
      <c r="K652" s="2">
        <v>0</v>
      </c>
      <c r="L652" s="3">
        <v>495720</v>
      </c>
      <c r="M652" s="3">
        <v>326448.74</v>
      </c>
      <c r="N652" s="3">
        <v>169271.26</v>
      </c>
      <c r="O652" s="4">
        <v>34.15</v>
      </c>
      <c r="P652" s="2" t="s">
        <v>29</v>
      </c>
    </row>
    <row r="653" spans="1:16" x14ac:dyDescent="0.3">
      <c r="A653" s="5">
        <v>1480</v>
      </c>
      <c r="B653" s="5" t="s">
        <v>54</v>
      </c>
      <c r="C653" s="5" t="s">
        <v>55</v>
      </c>
      <c r="D653" s="5" t="s">
        <v>56</v>
      </c>
      <c r="E653" s="5" t="s">
        <v>44</v>
      </c>
      <c r="F653" s="5" t="s">
        <v>27</v>
      </c>
      <c r="G653" s="5" t="s">
        <v>84</v>
      </c>
      <c r="H653" s="5">
        <v>96</v>
      </c>
      <c r="I653" s="6">
        <v>14969</v>
      </c>
      <c r="J653" s="6">
        <v>1437024</v>
      </c>
      <c r="K653" s="5">
        <v>0</v>
      </c>
      <c r="L653" s="6">
        <v>1437024</v>
      </c>
      <c r="M653" s="6">
        <v>830692.97</v>
      </c>
      <c r="N653" s="6">
        <v>606331.03</v>
      </c>
      <c r="O653" s="7">
        <v>42.19</v>
      </c>
      <c r="P653" s="5" t="s">
        <v>39</v>
      </c>
    </row>
    <row r="654" spans="1:16" x14ac:dyDescent="0.3">
      <c r="A654" s="2">
        <v>2109</v>
      </c>
      <c r="B654" s="2" t="s">
        <v>46</v>
      </c>
      <c r="C654" s="2" t="s">
        <v>47</v>
      </c>
      <c r="D654" s="2" t="s">
        <v>36</v>
      </c>
      <c r="E654" s="2" t="s">
        <v>26</v>
      </c>
      <c r="F654" s="2" t="s">
        <v>37</v>
      </c>
      <c r="G654" s="2" t="s">
        <v>82</v>
      </c>
      <c r="H654" s="2">
        <v>184</v>
      </c>
      <c r="I654" s="3">
        <v>1528</v>
      </c>
      <c r="J654" s="3">
        <v>281152</v>
      </c>
      <c r="K654" s="2">
        <v>5</v>
      </c>
      <c r="L654" s="3">
        <v>267094.40000000002</v>
      </c>
      <c r="M654" s="3">
        <v>163577.51</v>
      </c>
      <c r="N654" s="3">
        <v>103516.89</v>
      </c>
      <c r="O654" s="4">
        <v>38.76</v>
      </c>
      <c r="P654" s="2" t="s">
        <v>39</v>
      </c>
    </row>
    <row r="655" spans="1:16" x14ac:dyDescent="0.3">
      <c r="A655" s="5">
        <v>1505</v>
      </c>
      <c r="B655" s="5" t="s">
        <v>73</v>
      </c>
      <c r="C655" s="5" t="s">
        <v>74</v>
      </c>
      <c r="D655" s="5" t="s">
        <v>56</v>
      </c>
      <c r="E655" s="5" t="s">
        <v>26</v>
      </c>
      <c r="F655" s="5" t="s">
        <v>27</v>
      </c>
      <c r="G655" s="5" t="s">
        <v>84</v>
      </c>
      <c r="H655" s="5">
        <v>162</v>
      </c>
      <c r="I655" s="6">
        <v>14406</v>
      </c>
      <c r="J655" s="6">
        <v>2333772</v>
      </c>
      <c r="K655" s="5">
        <v>5</v>
      </c>
      <c r="L655" s="6">
        <v>2217083.4</v>
      </c>
      <c r="M655" s="6">
        <v>1250437.25</v>
      </c>
      <c r="N655" s="6">
        <v>966646.15</v>
      </c>
      <c r="O655" s="7">
        <v>43.6</v>
      </c>
      <c r="P655" s="5" t="s">
        <v>41</v>
      </c>
    </row>
    <row r="656" spans="1:16" x14ac:dyDescent="0.3">
      <c r="A656" s="2">
        <v>1516</v>
      </c>
      <c r="B656" s="2" t="s">
        <v>73</v>
      </c>
      <c r="C656" s="2" t="s">
        <v>74</v>
      </c>
      <c r="D656" s="2" t="s">
        <v>56</v>
      </c>
      <c r="E656" s="2" t="s">
        <v>26</v>
      </c>
      <c r="F656" s="2" t="s">
        <v>20</v>
      </c>
      <c r="G656" s="2" t="s">
        <v>64</v>
      </c>
      <c r="H656" s="2">
        <v>79</v>
      </c>
      <c r="I656" s="3">
        <v>197</v>
      </c>
      <c r="J656" s="3">
        <v>15563</v>
      </c>
      <c r="K656" s="2">
        <v>0</v>
      </c>
      <c r="L656" s="3">
        <v>15563</v>
      </c>
      <c r="M656" s="3">
        <v>9138.09</v>
      </c>
      <c r="N656" s="3">
        <v>6424.91</v>
      </c>
      <c r="O656" s="4">
        <v>41.28</v>
      </c>
      <c r="P656" s="2" t="s">
        <v>29</v>
      </c>
    </row>
    <row r="657" spans="1:16" x14ac:dyDescent="0.3">
      <c r="A657" s="5">
        <v>2114</v>
      </c>
      <c r="B657" s="5" t="s">
        <v>46</v>
      </c>
      <c r="C657" s="5" t="s">
        <v>47</v>
      </c>
      <c r="D657" s="5" t="s">
        <v>36</v>
      </c>
      <c r="E657" s="5" t="s">
        <v>26</v>
      </c>
      <c r="F657" s="5" t="s">
        <v>32</v>
      </c>
      <c r="G657" s="5" t="s">
        <v>33</v>
      </c>
      <c r="H657" s="5">
        <v>132</v>
      </c>
      <c r="I657" s="6">
        <v>10253</v>
      </c>
      <c r="J657" s="6">
        <v>1353396</v>
      </c>
      <c r="K657" s="5">
        <v>5</v>
      </c>
      <c r="L657" s="6">
        <v>1285726.2</v>
      </c>
      <c r="M657" s="6">
        <v>760460.75</v>
      </c>
      <c r="N657" s="6">
        <v>525265.44999999995</v>
      </c>
      <c r="O657" s="7">
        <v>40.85</v>
      </c>
      <c r="P657" s="5" t="s">
        <v>45</v>
      </c>
    </row>
    <row r="658" spans="1:16" x14ac:dyDescent="0.3">
      <c r="A658" s="2">
        <v>1754</v>
      </c>
      <c r="B658" s="2" t="s">
        <v>30</v>
      </c>
      <c r="C658" s="2" t="s">
        <v>31</v>
      </c>
      <c r="D658" s="2" t="s">
        <v>18</v>
      </c>
      <c r="E658" s="2" t="s">
        <v>42</v>
      </c>
      <c r="F658" s="2" t="s">
        <v>27</v>
      </c>
      <c r="G658" s="2" t="s">
        <v>66</v>
      </c>
      <c r="H658" s="2">
        <v>66</v>
      </c>
      <c r="I658" s="3">
        <v>731</v>
      </c>
      <c r="J658" s="3">
        <v>48246</v>
      </c>
      <c r="K658" s="2">
        <v>0</v>
      </c>
      <c r="L658" s="3">
        <v>48246</v>
      </c>
      <c r="M658" s="3">
        <v>27963.99</v>
      </c>
      <c r="N658" s="3">
        <v>20282.009999999998</v>
      </c>
      <c r="O658" s="4">
        <v>42.04</v>
      </c>
      <c r="P658" s="2" t="s">
        <v>39</v>
      </c>
    </row>
    <row r="659" spans="1:16" x14ac:dyDescent="0.3">
      <c r="A659" s="5">
        <v>1184</v>
      </c>
      <c r="B659" s="5" t="s">
        <v>23</v>
      </c>
      <c r="C659" s="5" t="s">
        <v>24</v>
      </c>
      <c r="D659" s="5" t="s">
        <v>25</v>
      </c>
      <c r="E659" s="5" t="s">
        <v>44</v>
      </c>
      <c r="F659" s="5" t="s">
        <v>37</v>
      </c>
      <c r="G659" s="5" t="s">
        <v>82</v>
      </c>
      <c r="H659" s="5">
        <v>53</v>
      </c>
      <c r="I659" s="6">
        <v>1475</v>
      </c>
      <c r="J659" s="6">
        <v>78175</v>
      </c>
      <c r="K659" s="5">
        <v>5</v>
      </c>
      <c r="L659" s="6">
        <v>74266.25</v>
      </c>
      <c r="M659" s="6">
        <v>42318.69</v>
      </c>
      <c r="N659" s="6">
        <v>31947.56</v>
      </c>
      <c r="O659" s="7">
        <v>43.02</v>
      </c>
      <c r="P659" s="5" t="s">
        <v>41</v>
      </c>
    </row>
    <row r="660" spans="1:16" x14ac:dyDescent="0.3">
      <c r="A660" s="2">
        <v>1952</v>
      </c>
      <c r="B660" s="2" t="s">
        <v>34</v>
      </c>
      <c r="C660" s="2" t="s">
        <v>35</v>
      </c>
      <c r="D660" s="2" t="s">
        <v>36</v>
      </c>
      <c r="E660" s="2" t="s">
        <v>42</v>
      </c>
      <c r="F660" s="2" t="s">
        <v>27</v>
      </c>
      <c r="G660" s="2" t="s">
        <v>28</v>
      </c>
      <c r="H660" s="2">
        <v>55</v>
      </c>
      <c r="I660" s="3">
        <v>8543</v>
      </c>
      <c r="J660" s="3">
        <v>469865</v>
      </c>
      <c r="K660" s="2">
        <v>0</v>
      </c>
      <c r="L660" s="3">
        <v>469865</v>
      </c>
      <c r="M660" s="3">
        <v>309670.13</v>
      </c>
      <c r="N660" s="3">
        <v>160194.87</v>
      </c>
      <c r="O660" s="4">
        <v>34.090000000000003</v>
      </c>
      <c r="P660" s="2" t="s">
        <v>41</v>
      </c>
    </row>
    <row r="661" spans="1:16" x14ac:dyDescent="0.3">
      <c r="A661" s="5">
        <v>1043</v>
      </c>
      <c r="B661" s="5" t="s">
        <v>62</v>
      </c>
      <c r="C661" s="5" t="s">
        <v>63</v>
      </c>
      <c r="D661" s="5" t="s">
        <v>25</v>
      </c>
      <c r="E661" s="5" t="s">
        <v>19</v>
      </c>
      <c r="F661" s="5" t="s">
        <v>20</v>
      </c>
      <c r="G661" s="5" t="s">
        <v>21</v>
      </c>
      <c r="H661" s="5">
        <v>112</v>
      </c>
      <c r="I661" s="6">
        <v>114</v>
      </c>
      <c r="J661" s="6">
        <v>12768</v>
      </c>
      <c r="K661" s="5">
        <v>20</v>
      </c>
      <c r="L661" s="6">
        <v>10214.4</v>
      </c>
      <c r="M661" s="6">
        <v>6054.97</v>
      </c>
      <c r="N661" s="6">
        <v>4159.43</v>
      </c>
      <c r="O661" s="7">
        <v>40.72</v>
      </c>
      <c r="P661" s="5" t="s">
        <v>39</v>
      </c>
    </row>
    <row r="662" spans="1:16" x14ac:dyDescent="0.3">
      <c r="A662" s="2">
        <v>1573</v>
      </c>
      <c r="B662" s="2" t="s">
        <v>73</v>
      </c>
      <c r="C662" s="2" t="s">
        <v>74</v>
      </c>
      <c r="D662" s="2" t="s">
        <v>56</v>
      </c>
      <c r="E662" s="2" t="s">
        <v>42</v>
      </c>
      <c r="F662" s="2" t="s">
        <v>48</v>
      </c>
      <c r="G662" s="2" t="s">
        <v>49</v>
      </c>
      <c r="H662" s="2">
        <v>27</v>
      </c>
      <c r="I662" s="3">
        <v>816</v>
      </c>
      <c r="J662" s="3">
        <v>22032</v>
      </c>
      <c r="K662" s="2">
        <v>0</v>
      </c>
      <c r="L662" s="3">
        <v>22032</v>
      </c>
      <c r="M662" s="3">
        <v>15077.92</v>
      </c>
      <c r="N662" s="3">
        <v>6954.08</v>
      </c>
      <c r="O662" s="4">
        <v>31.56</v>
      </c>
      <c r="P662" s="2" t="s">
        <v>50</v>
      </c>
    </row>
    <row r="663" spans="1:16" x14ac:dyDescent="0.3">
      <c r="A663" s="2">
        <v>1380</v>
      </c>
      <c r="B663" s="2" t="s">
        <v>57</v>
      </c>
      <c r="C663" s="2" t="s">
        <v>58</v>
      </c>
      <c r="D663" s="2" t="s">
        <v>56</v>
      </c>
      <c r="E663" s="2" t="s">
        <v>44</v>
      </c>
      <c r="F663" s="2" t="s">
        <v>27</v>
      </c>
      <c r="G663" s="2" t="s">
        <v>84</v>
      </c>
      <c r="H663" s="2">
        <v>94</v>
      </c>
      <c r="I663" s="3">
        <v>13950</v>
      </c>
      <c r="J663" s="3">
        <v>1311300</v>
      </c>
      <c r="K663" s="2">
        <v>10</v>
      </c>
      <c r="L663" s="3">
        <v>1180170</v>
      </c>
      <c r="M663" s="3">
        <v>800359.31</v>
      </c>
      <c r="N663" s="3">
        <v>379810.69</v>
      </c>
      <c r="O663" s="4">
        <v>32.18</v>
      </c>
      <c r="P663" s="2" t="s">
        <v>39</v>
      </c>
    </row>
    <row r="664" spans="1:16" x14ac:dyDescent="0.3">
      <c r="A664" s="5">
        <v>1405</v>
      </c>
      <c r="B664" s="5" t="s">
        <v>54</v>
      </c>
      <c r="C664" s="5" t="s">
        <v>55</v>
      </c>
      <c r="D664" s="5" t="s">
        <v>56</v>
      </c>
      <c r="E664" s="5" t="s">
        <v>26</v>
      </c>
      <c r="F664" s="5" t="s">
        <v>27</v>
      </c>
      <c r="G664" s="5" t="s">
        <v>84</v>
      </c>
      <c r="H664" s="5">
        <v>53</v>
      </c>
      <c r="I664" s="6">
        <v>15440</v>
      </c>
      <c r="J664" s="6">
        <v>818320</v>
      </c>
      <c r="K664" s="5">
        <v>20</v>
      </c>
      <c r="L664" s="6">
        <v>654656</v>
      </c>
      <c r="M664" s="6">
        <v>443247.94</v>
      </c>
      <c r="N664" s="6">
        <v>211408.06</v>
      </c>
      <c r="O664" s="7">
        <v>32.29</v>
      </c>
      <c r="P664" s="5" t="s">
        <v>29</v>
      </c>
    </row>
    <row r="665" spans="1:16" x14ac:dyDescent="0.3">
      <c r="A665" s="2">
        <v>1310</v>
      </c>
      <c r="B665" s="2" t="s">
        <v>57</v>
      </c>
      <c r="C665" s="2" t="s">
        <v>58</v>
      </c>
      <c r="D665" s="2" t="s">
        <v>56</v>
      </c>
      <c r="E665" s="2" t="s">
        <v>26</v>
      </c>
      <c r="F665" s="2" t="s">
        <v>37</v>
      </c>
      <c r="G665" s="2" t="s">
        <v>67</v>
      </c>
      <c r="H665" s="2">
        <v>39</v>
      </c>
      <c r="I665" s="3">
        <v>1692</v>
      </c>
      <c r="J665" s="3">
        <v>65988</v>
      </c>
      <c r="K665" s="2">
        <v>0</v>
      </c>
      <c r="L665" s="3">
        <v>65988</v>
      </c>
      <c r="M665" s="3">
        <v>38636.660000000003</v>
      </c>
      <c r="N665" s="3">
        <v>27351.34</v>
      </c>
      <c r="O665" s="4">
        <v>41.45</v>
      </c>
      <c r="P665" s="2" t="s">
        <v>39</v>
      </c>
    </row>
    <row r="666" spans="1:16" x14ac:dyDescent="0.3">
      <c r="A666" s="5">
        <v>1391</v>
      </c>
      <c r="B666" s="5" t="s">
        <v>57</v>
      </c>
      <c r="C666" s="5" t="s">
        <v>58</v>
      </c>
      <c r="D666" s="5" t="s">
        <v>56</v>
      </c>
      <c r="E666" s="5" t="s">
        <v>44</v>
      </c>
      <c r="F666" s="5" t="s">
        <v>20</v>
      </c>
      <c r="G666" s="5" t="s">
        <v>64</v>
      </c>
      <c r="H666" s="5">
        <v>147</v>
      </c>
      <c r="I666" s="6">
        <v>199</v>
      </c>
      <c r="J666" s="6">
        <v>29253</v>
      </c>
      <c r="K666" s="5">
        <v>15</v>
      </c>
      <c r="L666" s="6">
        <v>24865.05</v>
      </c>
      <c r="M666" s="6">
        <v>15659.76</v>
      </c>
      <c r="N666" s="6">
        <v>9205.2900000000009</v>
      </c>
      <c r="O666" s="7">
        <v>37.020000000000003</v>
      </c>
      <c r="P666" s="5" t="s">
        <v>45</v>
      </c>
    </row>
    <row r="667" spans="1:16" x14ac:dyDescent="0.3">
      <c r="A667" s="2">
        <v>1635</v>
      </c>
      <c r="B667" s="2" t="s">
        <v>16</v>
      </c>
      <c r="C667" s="2" t="s">
        <v>17</v>
      </c>
      <c r="D667" s="2" t="s">
        <v>18</v>
      </c>
      <c r="E667" s="2" t="s">
        <v>19</v>
      </c>
      <c r="F667" s="2" t="s">
        <v>37</v>
      </c>
      <c r="G667" s="2" t="s">
        <v>67</v>
      </c>
      <c r="H667" s="2">
        <v>118</v>
      </c>
      <c r="I667" s="3">
        <v>1717</v>
      </c>
      <c r="J667" s="3">
        <v>202606</v>
      </c>
      <c r="K667" s="2">
        <v>15</v>
      </c>
      <c r="L667" s="3">
        <v>172215.1</v>
      </c>
      <c r="M667" s="3">
        <v>107977.52</v>
      </c>
      <c r="N667" s="3">
        <v>64237.58</v>
      </c>
      <c r="O667" s="4">
        <v>37.299999999999997</v>
      </c>
      <c r="P667" s="2" t="s">
        <v>43</v>
      </c>
    </row>
    <row r="668" spans="1:16" x14ac:dyDescent="0.3">
      <c r="A668" s="5">
        <v>1517</v>
      </c>
      <c r="B668" s="5" t="s">
        <v>73</v>
      </c>
      <c r="C668" s="5" t="s">
        <v>74</v>
      </c>
      <c r="D668" s="5" t="s">
        <v>56</v>
      </c>
      <c r="E668" s="5" t="s">
        <v>26</v>
      </c>
      <c r="F668" s="5" t="s">
        <v>20</v>
      </c>
      <c r="G668" s="5" t="s">
        <v>80</v>
      </c>
      <c r="H668" s="5">
        <v>63</v>
      </c>
      <c r="I668" s="6">
        <v>82</v>
      </c>
      <c r="J668" s="6">
        <v>5166</v>
      </c>
      <c r="K668" s="5">
        <v>5</v>
      </c>
      <c r="L668" s="6">
        <v>4907.7</v>
      </c>
      <c r="M668" s="6">
        <v>3272.68</v>
      </c>
      <c r="N668" s="6">
        <v>1635.02</v>
      </c>
      <c r="O668" s="7">
        <v>33.32</v>
      </c>
      <c r="P668" s="5" t="s">
        <v>43</v>
      </c>
    </row>
    <row r="669" spans="1:16" x14ac:dyDescent="0.3">
      <c r="A669" s="2">
        <v>2155</v>
      </c>
      <c r="B669" s="2" t="s">
        <v>46</v>
      </c>
      <c r="C669" s="2" t="s">
        <v>47</v>
      </c>
      <c r="D669" s="2" t="s">
        <v>36</v>
      </c>
      <c r="E669" s="2" t="s">
        <v>42</v>
      </c>
      <c r="F669" s="2" t="s">
        <v>27</v>
      </c>
      <c r="G669" s="2" t="s">
        <v>84</v>
      </c>
      <c r="H669" s="2">
        <v>125</v>
      </c>
      <c r="I669" s="3">
        <v>15202</v>
      </c>
      <c r="J669" s="3">
        <v>1900250</v>
      </c>
      <c r="K669" s="2">
        <v>5</v>
      </c>
      <c r="L669" s="3">
        <v>1805237.5</v>
      </c>
      <c r="M669" s="3">
        <v>1039384.57</v>
      </c>
      <c r="N669" s="3">
        <v>765852.93</v>
      </c>
      <c r="O669" s="4">
        <v>42.42</v>
      </c>
      <c r="P669" s="2" t="s">
        <v>50</v>
      </c>
    </row>
    <row r="670" spans="1:16" x14ac:dyDescent="0.3">
      <c r="A670" s="5">
        <v>1006</v>
      </c>
      <c r="B670" s="5" t="s">
        <v>62</v>
      </c>
      <c r="C670" s="5" t="s">
        <v>63</v>
      </c>
      <c r="D670" s="5" t="s">
        <v>25</v>
      </c>
      <c r="E670" s="5" t="s">
        <v>26</v>
      </c>
      <c r="F670" s="5" t="s">
        <v>37</v>
      </c>
      <c r="G670" s="5" t="s">
        <v>59</v>
      </c>
      <c r="H670" s="5">
        <v>29</v>
      </c>
      <c r="I670" s="6">
        <v>488</v>
      </c>
      <c r="J670" s="6">
        <v>14152</v>
      </c>
      <c r="K670" s="5">
        <v>10</v>
      </c>
      <c r="L670" s="6">
        <v>12736.8</v>
      </c>
      <c r="M670" s="6">
        <v>8624.39</v>
      </c>
      <c r="N670" s="6">
        <v>4112.41</v>
      </c>
      <c r="O670" s="7">
        <v>32.29</v>
      </c>
      <c r="P670" s="5" t="s">
        <v>50</v>
      </c>
    </row>
    <row r="671" spans="1:16" x14ac:dyDescent="0.3">
      <c r="A671" s="2">
        <v>1047</v>
      </c>
      <c r="B671" s="2" t="s">
        <v>62</v>
      </c>
      <c r="C671" s="2" t="s">
        <v>63</v>
      </c>
      <c r="D671" s="2" t="s">
        <v>25</v>
      </c>
      <c r="E671" s="2" t="s">
        <v>19</v>
      </c>
      <c r="F671" s="2" t="s">
        <v>48</v>
      </c>
      <c r="G671" s="2" t="s">
        <v>78</v>
      </c>
      <c r="H671" s="2">
        <v>81</v>
      </c>
      <c r="I671" s="3">
        <v>568</v>
      </c>
      <c r="J671" s="3">
        <v>46008</v>
      </c>
      <c r="K671" s="2">
        <v>0</v>
      </c>
      <c r="L671" s="3">
        <v>46008</v>
      </c>
      <c r="M671" s="3">
        <v>31802.54</v>
      </c>
      <c r="N671" s="3">
        <v>14205.46</v>
      </c>
      <c r="O671" s="4">
        <v>30.88</v>
      </c>
      <c r="P671" s="2" t="s">
        <v>45</v>
      </c>
    </row>
    <row r="672" spans="1:16" x14ac:dyDescent="0.3">
      <c r="A672" s="5">
        <v>1613</v>
      </c>
      <c r="B672" s="5" t="s">
        <v>16</v>
      </c>
      <c r="C672" s="5" t="s">
        <v>17</v>
      </c>
      <c r="D672" s="5" t="s">
        <v>18</v>
      </c>
      <c r="E672" s="5" t="s">
        <v>26</v>
      </c>
      <c r="F672" s="5" t="s">
        <v>32</v>
      </c>
      <c r="G672" s="5" t="s">
        <v>81</v>
      </c>
      <c r="H672" s="5">
        <v>53</v>
      </c>
      <c r="I672" s="6">
        <v>15356</v>
      </c>
      <c r="J672" s="6">
        <v>813868</v>
      </c>
      <c r="K672" s="5">
        <v>5</v>
      </c>
      <c r="L672" s="6">
        <v>773174.6</v>
      </c>
      <c r="M672" s="6">
        <v>519008.22</v>
      </c>
      <c r="N672" s="6">
        <v>254166.38</v>
      </c>
      <c r="O672" s="7">
        <v>32.869999999999997</v>
      </c>
      <c r="P672" s="5" t="s">
        <v>61</v>
      </c>
    </row>
    <row r="673" spans="1:16" x14ac:dyDescent="0.3">
      <c r="A673" s="2">
        <v>1894</v>
      </c>
      <c r="B673" s="2" t="s">
        <v>70</v>
      </c>
      <c r="C673" s="2" t="s">
        <v>71</v>
      </c>
      <c r="D673" s="2" t="s">
        <v>18</v>
      </c>
      <c r="E673" s="2" t="s">
        <v>44</v>
      </c>
      <c r="F673" s="2" t="s">
        <v>20</v>
      </c>
      <c r="G673" s="2" t="s">
        <v>68</v>
      </c>
      <c r="H673" s="2">
        <v>125</v>
      </c>
      <c r="I673" s="3">
        <v>140</v>
      </c>
      <c r="J673" s="3">
        <v>17500</v>
      </c>
      <c r="K673" s="2">
        <v>5</v>
      </c>
      <c r="L673" s="3">
        <v>16625</v>
      </c>
      <c r="M673" s="3">
        <v>9948.23</v>
      </c>
      <c r="N673" s="3">
        <v>6676.77</v>
      </c>
      <c r="O673" s="4">
        <v>40.159999999999997</v>
      </c>
      <c r="P673" s="2" t="s">
        <v>41</v>
      </c>
    </row>
    <row r="674" spans="1:16" x14ac:dyDescent="0.3">
      <c r="A674" s="5">
        <v>2160</v>
      </c>
      <c r="B674" s="5" t="s">
        <v>46</v>
      </c>
      <c r="C674" s="5" t="s">
        <v>47</v>
      </c>
      <c r="D674" s="5" t="s">
        <v>36</v>
      </c>
      <c r="E674" s="5" t="s">
        <v>42</v>
      </c>
      <c r="F674" s="5" t="s">
        <v>37</v>
      </c>
      <c r="G674" s="5" t="s">
        <v>67</v>
      </c>
      <c r="H674" s="5">
        <v>84</v>
      </c>
      <c r="I674" s="6">
        <v>1686</v>
      </c>
      <c r="J674" s="6">
        <v>141624</v>
      </c>
      <c r="K674" s="5">
        <v>0</v>
      </c>
      <c r="L674" s="6">
        <v>141624</v>
      </c>
      <c r="M674" s="6">
        <v>92031.95</v>
      </c>
      <c r="N674" s="6">
        <v>49592.05</v>
      </c>
      <c r="O674" s="7">
        <v>35.020000000000003</v>
      </c>
      <c r="P674" s="5" t="s">
        <v>41</v>
      </c>
    </row>
    <row r="675" spans="1:16" x14ac:dyDescent="0.3">
      <c r="A675" s="2">
        <v>2121</v>
      </c>
      <c r="B675" s="2" t="s">
        <v>46</v>
      </c>
      <c r="C675" s="2" t="s">
        <v>47</v>
      </c>
      <c r="D675" s="2" t="s">
        <v>36</v>
      </c>
      <c r="E675" s="2" t="s">
        <v>26</v>
      </c>
      <c r="F675" s="2" t="s">
        <v>48</v>
      </c>
      <c r="G675" s="2" t="s">
        <v>69</v>
      </c>
      <c r="H675" s="2">
        <v>102</v>
      </c>
      <c r="I675" s="3">
        <v>1104</v>
      </c>
      <c r="J675" s="3">
        <v>112608</v>
      </c>
      <c r="K675" s="2">
        <v>15</v>
      </c>
      <c r="L675" s="3">
        <v>95716.800000000003</v>
      </c>
      <c r="M675" s="3">
        <v>65133.65</v>
      </c>
      <c r="N675" s="3">
        <v>30583.15</v>
      </c>
      <c r="O675" s="4">
        <v>31.95</v>
      </c>
      <c r="P675" s="2" t="s">
        <v>22</v>
      </c>
    </row>
    <row r="676" spans="1:16" x14ac:dyDescent="0.3">
      <c r="A676" s="5">
        <v>1241</v>
      </c>
      <c r="B676" s="5" t="s">
        <v>52</v>
      </c>
      <c r="C676" s="5" t="s">
        <v>53</v>
      </c>
      <c r="D676" s="5" t="s">
        <v>25</v>
      </c>
      <c r="E676" s="5" t="s">
        <v>19</v>
      </c>
      <c r="F676" s="5" t="s">
        <v>20</v>
      </c>
      <c r="G676" s="5" t="s">
        <v>64</v>
      </c>
      <c r="H676" s="5">
        <v>76</v>
      </c>
      <c r="I676" s="6">
        <v>188</v>
      </c>
      <c r="J676" s="6">
        <v>14288</v>
      </c>
      <c r="K676" s="5">
        <v>10</v>
      </c>
      <c r="L676" s="6">
        <v>12859.2</v>
      </c>
      <c r="M676" s="6">
        <v>7749.79</v>
      </c>
      <c r="N676" s="6">
        <v>5109.41</v>
      </c>
      <c r="O676" s="7">
        <v>39.729999999999997</v>
      </c>
      <c r="P676" s="5" t="s">
        <v>61</v>
      </c>
    </row>
    <row r="677" spans="1:16" x14ac:dyDescent="0.3">
      <c r="A677" s="2">
        <v>2033</v>
      </c>
      <c r="B677" s="2" t="s">
        <v>76</v>
      </c>
      <c r="C677" s="2" t="s">
        <v>77</v>
      </c>
      <c r="D677" s="2" t="s">
        <v>36</v>
      </c>
      <c r="E677" s="2" t="s">
        <v>19</v>
      </c>
      <c r="F677" s="2" t="s">
        <v>37</v>
      </c>
      <c r="G677" s="2" t="s">
        <v>38</v>
      </c>
      <c r="H677" s="2">
        <v>38</v>
      </c>
      <c r="I677" s="3">
        <v>1843</v>
      </c>
      <c r="J677" s="3">
        <v>70034</v>
      </c>
      <c r="K677" s="2">
        <v>15</v>
      </c>
      <c r="L677" s="3">
        <v>59528.9</v>
      </c>
      <c r="M677" s="3">
        <v>35664.43</v>
      </c>
      <c r="N677" s="3">
        <v>23864.47</v>
      </c>
      <c r="O677" s="4">
        <v>40.090000000000003</v>
      </c>
      <c r="P677" s="2" t="s">
        <v>43</v>
      </c>
    </row>
    <row r="678" spans="1:16" x14ac:dyDescent="0.3">
      <c r="A678" s="2">
        <v>2198</v>
      </c>
      <c r="B678" s="2" t="s">
        <v>46</v>
      </c>
      <c r="C678" s="2" t="s">
        <v>47</v>
      </c>
      <c r="D678" s="2" t="s">
        <v>36</v>
      </c>
      <c r="E678" s="2" t="s">
        <v>44</v>
      </c>
      <c r="F678" s="2" t="s">
        <v>48</v>
      </c>
      <c r="G678" s="2" t="s">
        <v>49</v>
      </c>
      <c r="H678" s="2">
        <v>164</v>
      </c>
      <c r="I678" s="3">
        <v>769</v>
      </c>
      <c r="J678" s="3">
        <v>126116</v>
      </c>
      <c r="K678" s="2">
        <v>5</v>
      </c>
      <c r="L678" s="3">
        <v>119810.2</v>
      </c>
      <c r="M678" s="3">
        <v>68235.83</v>
      </c>
      <c r="N678" s="3">
        <v>51574.37</v>
      </c>
      <c r="O678" s="4">
        <v>43.05</v>
      </c>
      <c r="P678" s="2" t="s">
        <v>29</v>
      </c>
    </row>
    <row r="679" spans="1:16" x14ac:dyDescent="0.3">
      <c r="A679" s="2">
        <v>2074</v>
      </c>
      <c r="B679" s="2" t="s">
        <v>76</v>
      </c>
      <c r="C679" s="2" t="s">
        <v>77</v>
      </c>
      <c r="D679" s="2" t="s">
        <v>36</v>
      </c>
      <c r="E679" s="2" t="s">
        <v>42</v>
      </c>
      <c r="F679" s="2" t="s">
        <v>48</v>
      </c>
      <c r="G679" s="2" t="s">
        <v>51</v>
      </c>
      <c r="H679" s="2">
        <v>77</v>
      </c>
      <c r="I679" s="3">
        <v>1814</v>
      </c>
      <c r="J679" s="3">
        <v>139678</v>
      </c>
      <c r="K679" s="2">
        <v>0</v>
      </c>
      <c r="L679" s="3">
        <v>139678</v>
      </c>
      <c r="M679" s="3">
        <v>78014.67</v>
      </c>
      <c r="N679" s="3">
        <v>61663.33</v>
      </c>
      <c r="O679" s="4">
        <v>44.15</v>
      </c>
      <c r="P679" s="2" t="s">
        <v>45</v>
      </c>
    </row>
    <row r="680" spans="1:16" x14ac:dyDescent="0.3">
      <c r="A680" s="5">
        <v>1075</v>
      </c>
      <c r="B680" s="5" t="s">
        <v>62</v>
      </c>
      <c r="C680" s="5" t="s">
        <v>63</v>
      </c>
      <c r="D680" s="5" t="s">
        <v>25</v>
      </c>
      <c r="E680" s="5" t="s">
        <v>42</v>
      </c>
      <c r="F680" s="5" t="s">
        <v>48</v>
      </c>
      <c r="G680" s="5" t="s">
        <v>72</v>
      </c>
      <c r="H680" s="5">
        <v>120</v>
      </c>
      <c r="I680" s="6">
        <v>3795</v>
      </c>
      <c r="J680" s="6">
        <v>455400</v>
      </c>
      <c r="K680" s="5">
        <v>10</v>
      </c>
      <c r="L680" s="6">
        <v>409860</v>
      </c>
      <c r="M680" s="6">
        <v>266207.40000000002</v>
      </c>
      <c r="N680" s="6">
        <v>143652.6</v>
      </c>
      <c r="O680" s="7">
        <v>35.049999999999997</v>
      </c>
      <c r="P680" s="5" t="s">
        <v>29</v>
      </c>
    </row>
    <row r="681" spans="1:16" x14ac:dyDescent="0.3">
      <c r="A681" s="2">
        <v>2131</v>
      </c>
      <c r="B681" s="2" t="s">
        <v>46</v>
      </c>
      <c r="C681" s="2" t="s">
        <v>47</v>
      </c>
      <c r="D681" s="2" t="s">
        <v>36</v>
      </c>
      <c r="E681" s="2" t="s">
        <v>19</v>
      </c>
      <c r="F681" s="2" t="s">
        <v>37</v>
      </c>
      <c r="G681" s="2" t="s">
        <v>59</v>
      </c>
      <c r="H681" s="2">
        <v>193</v>
      </c>
      <c r="I681" s="3">
        <v>509</v>
      </c>
      <c r="J681" s="3">
        <v>98237</v>
      </c>
      <c r="K681" s="2">
        <v>0</v>
      </c>
      <c r="L681" s="3">
        <v>98237</v>
      </c>
      <c r="M681" s="3">
        <v>67495.03</v>
      </c>
      <c r="N681" s="3">
        <v>30741.97</v>
      </c>
      <c r="O681" s="4">
        <v>31.29</v>
      </c>
      <c r="P681" s="2" t="s">
        <v>43</v>
      </c>
    </row>
    <row r="682" spans="1:16" x14ac:dyDescent="0.3">
      <c r="A682" s="5">
        <v>1612</v>
      </c>
      <c r="B682" s="5" t="s">
        <v>16</v>
      </c>
      <c r="C682" s="5" t="s">
        <v>17</v>
      </c>
      <c r="D682" s="5" t="s">
        <v>18</v>
      </c>
      <c r="E682" s="5" t="s">
        <v>26</v>
      </c>
      <c r="F682" s="5" t="s">
        <v>32</v>
      </c>
      <c r="G682" s="5" t="s">
        <v>75</v>
      </c>
      <c r="H682" s="5">
        <v>107</v>
      </c>
      <c r="I682" s="6">
        <v>12961</v>
      </c>
      <c r="J682" s="6">
        <v>1386827</v>
      </c>
      <c r="K682" s="5">
        <v>0</v>
      </c>
      <c r="L682" s="6">
        <v>1386827</v>
      </c>
      <c r="M682" s="6">
        <v>787776.37</v>
      </c>
      <c r="N682" s="6">
        <v>599050.63</v>
      </c>
      <c r="O682" s="7">
        <v>43.2</v>
      </c>
      <c r="P682" s="5" t="s">
        <v>39</v>
      </c>
    </row>
    <row r="683" spans="1:16" x14ac:dyDescent="0.3">
      <c r="A683" s="2">
        <v>1910</v>
      </c>
      <c r="B683" s="2" t="s">
        <v>34</v>
      </c>
      <c r="C683" s="2" t="s">
        <v>35</v>
      </c>
      <c r="D683" s="2" t="s">
        <v>36</v>
      </c>
      <c r="E683" s="2" t="s">
        <v>26</v>
      </c>
      <c r="F683" s="2" t="s">
        <v>37</v>
      </c>
      <c r="G683" s="2" t="s">
        <v>67</v>
      </c>
      <c r="H683" s="2">
        <v>103</v>
      </c>
      <c r="I683" s="3">
        <v>1763</v>
      </c>
      <c r="J683" s="3">
        <v>181589</v>
      </c>
      <c r="K683" s="2">
        <v>0</v>
      </c>
      <c r="L683" s="3">
        <v>181589</v>
      </c>
      <c r="M683" s="3">
        <v>126648.06</v>
      </c>
      <c r="N683" s="3">
        <v>54940.94</v>
      </c>
      <c r="O683" s="4">
        <v>30.26</v>
      </c>
      <c r="P683" s="2" t="s">
        <v>43</v>
      </c>
    </row>
    <row r="684" spans="1:16" x14ac:dyDescent="0.3">
      <c r="A684" s="5">
        <v>1393</v>
      </c>
      <c r="B684" s="5" t="s">
        <v>57</v>
      </c>
      <c r="C684" s="5" t="s">
        <v>58</v>
      </c>
      <c r="D684" s="5" t="s">
        <v>56</v>
      </c>
      <c r="E684" s="5" t="s">
        <v>44</v>
      </c>
      <c r="F684" s="5" t="s">
        <v>20</v>
      </c>
      <c r="G684" s="5" t="s">
        <v>21</v>
      </c>
      <c r="H684" s="5">
        <v>24</v>
      </c>
      <c r="I684" s="6">
        <v>124</v>
      </c>
      <c r="J684" s="6">
        <v>2976</v>
      </c>
      <c r="K684" s="5">
        <v>0</v>
      </c>
      <c r="L684" s="6">
        <v>2976</v>
      </c>
      <c r="M684" s="6">
        <v>1744.23</v>
      </c>
      <c r="N684" s="6">
        <v>1231.77</v>
      </c>
      <c r="O684" s="7">
        <v>41.39</v>
      </c>
      <c r="P684" s="5" t="s">
        <v>29</v>
      </c>
    </row>
    <row r="685" spans="1:16" x14ac:dyDescent="0.3">
      <c r="A685" s="2">
        <v>1218</v>
      </c>
      <c r="B685" s="2" t="s">
        <v>52</v>
      </c>
      <c r="C685" s="2" t="s">
        <v>53</v>
      </c>
      <c r="D685" s="2" t="s">
        <v>25</v>
      </c>
      <c r="E685" s="2" t="s">
        <v>26</v>
      </c>
      <c r="F685" s="2" t="s">
        <v>20</v>
      </c>
      <c r="G685" s="2" t="s">
        <v>21</v>
      </c>
      <c r="H685" s="2">
        <v>95</v>
      </c>
      <c r="I685" s="3">
        <v>121</v>
      </c>
      <c r="J685" s="3">
        <v>11495</v>
      </c>
      <c r="K685" s="2">
        <v>10</v>
      </c>
      <c r="L685" s="3">
        <v>10345.5</v>
      </c>
      <c r="M685" s="3">
        <v>6729.77</v>
      </c>
      <c r="N685" s="3">
        <v>3615.73</v>
      </c>
      <c r="O685" s="4">
        <v>34.950000000000003</v>
      </c>
      <c r="P685" s="2" t="s">
        <v>22</v>
      </c>
    </row>
    <row r="686" spans="1:16" x14ac:dyDescent="0.3">
      <c r="A686" s="2">
        <v>1332</v>
      </c>
      <c r="B686" s="2" t="s">
        <v>57</v>
      </c>
      <c r="C686" s="2" t="s">
        <v>58</v>
      </c>
      <c r="D686" s="2" t="s">
        <v>56</v>
      </c>
      <c r="E686" s="2" t="s">
        <v>19</v>
      </c>
      <c r="F686" s="2" t="s">
        <v>37</v>
      </c>
      <c r="G686" s="2" t="s">
        <v>79</v>
      </c>
      <c r="H686" s="2">
        <v>45</v>
      </c>
      <c r="I686" s="3">
        <v>1165</v>
      </c>
      <c r="J686" s="3">
        <v>52425</v>
      </c>
      <c r="K686" s="2">
        <v>0</v>
      </c>
      <c r="L686" s="3">
        <v>52425</v>
      </c>
      <c r="M686" s="3">
        <v>31046.27</v>
      </c>
      <c r="N686" s="3">
        <v>21378.73</v>
      </c>
      <c r="O686" s="4">
        <v>40.78</v>
      </c>
      <c r="P686" s="2" t="s">
        <v>39</v>
      </c>
    </row>
    <row r="687" spans="1:16" x14ac:dyDescent="0.3">
      <c r="A687" s="5">
        <v>1788</v>
      </c>
      <c r="B687" s="5" t="s">
        <v>30</v>
      </c>
      <c r="C687" s="5" t="s">
        <v>31</v>
      </c>
      <c r="D687" s="5" t="s">
        <v>18</v>
      </c>
      <c r="E687" s="5" t="s">
        <v>44</v>
      </c>
      <c r="F687" s="5" t="s">
        <v>32</v>
      </c>
      <c r="G687" s="5" t="s">
        <v>81</v>
      </c>
      <c r="H687" s="5">
        <v>47</v>
      </c>
      <c r="I687" s="6">
        <v>15125</v>
      </c>
      <c r="J687" s="6">
        <v>710875</v>
      </c>
      <c r="K687" s="5">
        <v>0</v>
      </c>
      <c r="L687" s="6">
        <v>710875</v>
      </c>
      <c r="M687" s="6">
        <v>484577.11</v>
      </c>
      <c r="N687" s="6">
        <v>226297.89</v>
      </c>
      <c r="O687" s="7">
        <v>31.83</v>
      </c>
      <c r="P687" s="5" t="s">
        <v>29</v>
      </c>
    </row>
    <row r="688" spans="1:16" x14ac:dyDescent="0.3">
      <c r="A688" s="2">
        <v>2116</v>
      </c>
      <c r="B688" s="2" t="s">
        <v>46</v>
      </c>
      <c r="C688" s="2" t="s">
        <v>47</v>
      </c>
      <c r="D688" s="2" t="s">
        <v>36</v>
      </c>
      <c r="E688" s="2" t="s">
        <v>26</v>
      </c>
      <c r="F688" s="2" t="s">
        <v>20</v>
      </c>
      <c r="G688" s="2" t="s">
        <v>64</v>
      </c>
      <c r="H688" s="2">
        <v>176</v>
      </c>
      <c r="I688" s="3">
        <v>182</v>
      </c>
      <c r="J688" s="3">
        <v>32032</v>
      </c>
      <c r="K688" s="2">
        <v>10</v>
      </c>
      <c r="L688" s="3">
        <v>28828.799999999999</v>
      </c>
      <c r="M688" s="3">
        <v>17088.55</v>
      </c>
      <c r="N688" s="3">
        <v>11740.25</v>
      </c>
      <c r="O688" s="4">
        <v>40.72</v>
      </c>
      <c r="P688" s="2" t="s">
        <v>22</v>
      </c>
    </row>
    <row r="689" spans="1:16" x14ac:dyDescent="0.3">
      <c r="A689" s="5">
        <v>1011</v>
      </c>
      <c r="B689" s="5" t="s">
        <v>62</v>
      </c>
      <c r="C689" s="5" t="s">
        <v>63</v>
      </c>
      <c r="D689" s="5" t="s">
        <v>25</v>
      </c>
      <c r="E689" s="5" t="s">
        <v>26</v>
      </c>
      <c r="F689" s="5" t="s">
        <v>32</v>
      </c>
      <c r="G689" s="5" t="s">
        <v>40</v>
      </c>
      <c r="H689" s="5">
        <v>36</v>
      </c>
      <c r="I689" s="6">
        <v>17479</v>
      </c>
      <c r="J689" s="6">
        <v>629244</v>
      </c>
      <c r="K689" s="5">
        <v>5</v>
      </c>
      <c r="L689" s="6">
        <v>597781.80000000005</v>
      </c>
      <c r="M689" s="6">
        <v>391710.3</v>
      </c>
      <c r="N689" s="6">
        <v>206071.5</v>
      </c>
      <c r="O689" s="7">
        <v>34.47</v>
      </c>
      <c r="P689" s="5" t="s">
        <v>29</v>
      </c>
    </row>
    <row r="690" spans="1:16" x14ac:dyDescent="0.3">
      <c r="A690" s="2">
        <v>1088</v>
      </c>
      <c r="B690" s="2" t="s">
        <v>62</v>
      </c>
      <c r="C690" s="2" t="s">
        <v>63</v>
      </c>
      <c r="D690" s="2" t="s">
        <v>25</v>
      </c>
      <c r="E690" s="2" t="s">
        <v>44</v>
      </c>
      <c r="F690" s="2" t="s">
        <v>32</v>
      </c>
      <c r="G690" s="2" t="s">
        <v>81</v>
      </c>
      <c r="H690" s="2">
        <v>114</v>
      </c>
      <c r="I690" s="3">
        <v>15096</v>
      </c>
      <c r="J690" s="3">
        <v>1720944</v>
      </c>
      <c r="K690" s="2">
        <v>15</v>
      </c>
      <c r="L690" s="3">
        <v>1462802.4</v>
      </c>
      <c r="M690" s="3">
        <v>986785.11</v>
      </c>
      <c r="N690" s="3">
        <v>476017.29</v>
      </c>
      <c r="O690" s="4">
        <v>32.54</v>
      </c>
      <c r="P690" s="2" t="s">
        <v>39</v>
      </c>
    </row>
    <row r="691" spans="1:16" x14ac:dyDescent="0.3">
      <c r="A691" s="5">
        <v>1470</v>
      </c>
      <c r="B691" s="5" t="s">
        <v>54</v>
      </c>
      <c r="C691" s="5" t="s">
        <v>55</v>
      </c>
      <c r="D691" s="5" t="s">
        <v>56</v>
      </c>
      <c r="E691" s="5" t="s">
        <v>42</v>
      </c>
      <c r="F691" s="5" t="s">
        <v>20</v>
      </c>
      <c r="G691" s="5" t="s">
        <v>60</v>
      </c>
      <c r="H691" s="5">
        <v>69</v>
      </c>
      <c r="I691" s="6">
        <v>89</v>
      </c>
      <c r="J691" s="6">
        <v>6141</v>
      </c>
      <c r="K691" s="5">
        <v>20</v>
      </c>
      <c r="L691" s="6">
        <v>4912.8</v>
      </c>
      <c r="M691" s="6">
        <v>2872.9</v>
      </c>
      <c r="N691" s="6">
        <v>2039.9</v>
      </c>
      <c r="O691" s="7">
        <v>41.52</v>
      </c>
      <c r="P691" s="5" t="s">
        <v>22</v>
      </c>
    </row>
    <row r="692" spans="1:16" x14ac:dyDescent="0.3">
      <c r="A692" s="2">
        <v>1769</v>
      </c>
      <c r="B692" s="2" t="s">
        <v>30</v>
      </c>
      <c r="C692" s="2" t="s">
        <v>31</v>
      </c>
      <c r="D692" s="2" t="s">
        <v>18</v>
      </c>
      <c r="E692" s="2" t="s">
        <v>42</v>
      </c>
      <c r="F692" s="2" t="s">
        <v>20</v>
      </c>
      <c r="G692" s="2" t="s">
        <v>68</v>
      </c>
      <c r="H692" s="2">
        <v>57</v>
      </c>
      <c r="I692" s="3">
        <v>143</v>
      </c>
      <c r="J692" s="3">
        <v>8151</v>
      </c>
      <c r="K692" s="2">
        <v>5</v>
      </c>
      <c r="L692" s="3">
        <v>7743.45</v>
      </c>
      <c r="M692" s="3">
        <v>4308.62</v>
      </c>
      <c r="N692" s="3">
        <v>3434.83</v>
      </c>
      <c r="O692" s="4">
        <v>44.36</v>
      </c>
      <c r="P692" s="2" t="s">
        <v>45</v>
      </c>
    </row>
    <row r="693" spans="1:16" x14ac:dyDescent="0.3">
      <c r="A693" s="5">
        <v>1701</v>
      </c>
      <c r="B693" s="5" t="s">
        <v>30</v>
      </c>
      <c r="C693" s="5" t="s">
        <v>31</v>
      </c>
      <c r="D693" s="5" t="s">
        <v>18</v>
      </c>
      <c r="E693" s="5" t="s">
        <v>26</v>
      </c>
      <c r="F693" s="5" t="s">
        <v>27</v>
      </c>
      <c r="G693" s="5" t="s">
        <v>85</v>
      </c>
      <c r="H693" s="5">
        <v>40</v>
      </c>
      <c r="I693" s="6">
        <v>12953</v>
      </c>
      <c r="J693" s="6">
        <v>518120</v>
      </c>
      <c r="K693" s="5">
        <v>20</v>
      </c>
      <c r="L693" s="6">
        <v>414496</v>
      </c>
      <c r="M693" s="6">
        <v>236705.14</v>
      </c>
      <c r="N693" s="6">
        <v>177790.86</v>
      </c>
      <c r="O693" s="7">
        <v>42.89</v>
      </c>
      <c r="P693" s="5" t="s">
        <v>22</v>
      </c>
    </row>
    <row r="694" spans="1:16" x14ac:dyDescent="0.3">
      <c r="A694" s="2">
        <v>1597</v>
      </c>
      <c r="B694" s="2" t="s">
        <v>73</v>
      </c>
      <c r="C694" s="2" t="s">
        <v>74</v>
      </c>
      <c r="D694" s="2" t="s">
        <v>56</v>
      </c>
      <c r="E694" s="2" t="s">
        <v>44</v>
      </c>
      <c r="F694" s="2" t="s">
        <v>48</v>
      </c>
      <c r="G694" s="2" t="s">
        <v>78</v>
      </c>
      <c r="H694" s="2">
        <v>59</v>
      </c>
      <c r="I694" s="3">
        <v>553</v>
      </c>
      <c r="J694" s="3">
        <v>32627</v>
      </c>
      <c r="K694" s="2">
        <v>10</v>
      </c>
      <c r="L694" s="3">
        <v>29364.3</v>
      </c>
      <c r="M694" s="3">
        <v>16899.62</v>
      </c>
      <c r="N694" s="3">
        <v>12464.68</v>
      </c>
      <c r="O694" s="4">
        <v>42.45</v>
      </c>
      <c r="P694" s="2" t="s">
        <v>22</v>
      </c>
    </row>
    <row r="695" spans="1:16" x14ac:dyDescent="0.3">
      <c r="A695" s="5">
        <v>1379</v>
      </c>
      <c r="B695" s="5" t="s">
        <v>57</v>
      </c>
      <c r="C695" s="5" t="s">
        <v>58</v>
      </c>
      <c r="D695" s="5" t="s">
        <v>56</v>
      </c>
      <c r="E695" s="5" t="s">
        <v>44</v>
      </c>
      <c r="F695" s="5" t="s">
        <v>27</v>
      </c>
      <c r="G695" s="5" t="s">
        <v>66</v>
      </c>
      <c r="H695" s="5">
        <v>30</v>
      </c>
      <c r="I695" s="6">
        <v>810</v>
      </c>
      <c r="J695" s="6">
        <v>24300</v>
      </c>
      <c r="K695" s="5">
        <v>0</v>
      </c>
      <c r="L695" s="6">
        <v>24300</v>
      </c>
      <c r="M695" s="6">
        <v>16385.88</v>
      </c>
      <c r="N695" s="6">
        <v>7914.12</v>
      </c>
      <c r="O695" s="7">
        <v>32.57</v>
      </c>
      <c r="P695" s="5" t="s">
        <v>45</v>
      </c>
    </row>
    <row r="696" spans="1:16" x14ac:dyDescent="0.3">
      <c r="A696" s="2">
        <v>1255</v>
      </c>
      <c r="B696" s="2" t="s">
        <v>52</v>
      </c>
      <c r="C696" s="2" t="s">
        <v>53</v>
      </c>
      <c r="D696" s="2" t="s">
        <v>25</v>
      </c>
      <c r="E696" s="2" t="s">
        <v>42</v>
      </c>
      <c r="F696" s="2" t="s">
        <v>27</v>
      </c>
      <c r="G696" s="2" t="s">
        <v>84</v>
      </c>
      <c r="H696" s="2">
        <v>26</v>
      </c>
      <c r="I696" s="3">
        <v>13784</v>
      </c>
      <c r="J696" s="3">
        <v>358384</v>
      </c>
      <c r="K696" s="2">
        <v>15</v>
      </c>
      <c r="L696" s="3">
        <v>304626.40000000002</v>
      </c>
      <c r="M696" s="3">
        <v>180528.32</v>
      </c>
      <c r="N696" s="3">
        <v>124098.08</v>
      </c>
      <c r="O696" s="4">
        <v>40.74</v>
      </c>
      <c r="P696" s="2" t="s">
        <v>61</v>
      </c>
    </row>
    <row r="697" spans="1:16" x14ac:dyDescent="0.3">
      <c r="A697" s="5">
        <v>1462</v>
      </c>
      <c r="B697" s="5" t="s">
        <v>54</v>
      </c>
      <c r="C697" s="5" t="s">
        <v>55</v>
      </c>
      <c r="D697" s="5" t="s">
        <v>56</v>
      </c>
      <c r="E697" s="5" t="s">
        <v>42</v>
      </c>
      <c r="F697" s="5" t="s">
        <v>32</v>
      </c>
      <c r="G697" s="5" t="s">
        <v>75</v>
      </c>
      <c r="H697" s="5">
        <v>160</v>
      </c>
      <c r="I697" s="6">
        <v>11833</v>
      </c>
      <c r="J697" s="6">
        <v>1893280</v>
      </c>
      <c r="K697" s="5">
        <v>0</v>
      </c>
      <c r="L697" s="6">
        <v>1893280</v>
      </c>
      <c r="M697" s="6">
        <v>1069307.47</v>
      </c>
      <c r="N697" s="6">
        <v>823972.53</v>
      </c>
      <c r="O697" s="7">
        <v>43.52</v>
      </c>
      <c r="P697" s="5" t="s">
        <v>45</v>
      </c>
    </row>
    <row r="698" spans="1:16" x14ac:dyDescent="0.3">
      <c r="A698" s="2">
        <v>1757</v>
      </c>
      <c r="B698" s="2" t="s">
        <v>30</v>
      </c>
      <c r="C698" s="2" t="s">
        <v>31</v>
      </c>
      <c r="D698" s="2" t="s">
        <v>18</v>
      </c>
      <c r="E698" s="2" t="s">
        <v>42</v>
      </c>
      <c r="F698" s="2" t="s">
        <v>37</v>
      </c>
      <c r="G698" s="2" t="s">
        <v>79</v>
      </c>
      <c r="H698" s="2">
        <v>127</v>
      </c>
      <c r="I698" s="3">
        <v>1117</v>
      </c>
      <c r="J698" s="3">
        <v>141859</v>
      </c>
      <c r="K698" s="2">
        <v>10</v>
      </c>
      <c r="L698" s="3">
        <v>127673.1</v>
      </c>
      <c r="M698" s="3">
        <v>85688.43</v>
      </c>
      <c r="N698" s="3">
        <v>41984.67</v>
      </c>
      <c r="O698" s="4">
        <v>32.880000000000003</v>
      </c>
      <c r="P698" s="2" t="s">
        <v>22</v>
      </c>
    </row>
    <row r="699" spans="1:16" x14ac:dyDescent="0.3">
      <c r="A699" s="5">
        <v>2059</v>
      </c>
      <c r="B699" s="5" t="s">
        <v>76</v>
      </c>
      <c r="C699" s="5" t="s">
        <v>77</v>
      </c>
      <c r="D699" s="5" t="s">
        <v>36</v>
      </c>
      <c r="E699" s="5" t="s">
        <v>42</v>
      </c>
      <c r="F699" s="5" t="s">
        <v>37</v>
      </c>
      <c r="G699" s="5" t="s">
        <v>82</v>
      </c>
      <c r="H699" s="5">
        <v>81</v>
      </c>
      <c r="I699" s="6">
        <v>1427</v>
      </c>
      <c r="J699" s="6">
        <v>115587</v>
      </c>
      <c r="K699" s="5">
        <v>0</v>
      </c>
      <c r="L699" s="6">
        <v>115587</v>
      </c>
      <c r="M699" s="6">
        <v>74041.94</v>
      </c>
      <c r="N699" s="6">
        <v>41545.06</v>
      </c>
      <c r="O699" s="7">
        <v>35.94</v>
      </c>
      <c r="P699" s="5" t="s">
        <v>61</v>
      </c>
    </row>
    <row r="700" spans="1:16" x14ac:dyDescent="0.3">
      <c r="A700" s="5">
        <v>1298</v>
      </c>
      <c r="B700" s="5" t="s">
        <v>52</v>
      </c>
      <c r="C700" s="5" t="s">
        <v>53</v>
      </c>
      <c r="D700" s="5" t="s">
        <v>25</v>
      </c>
      <c r="E700" s="5" t="s">
        <v>44</v>
      </c>
      <c r="F700" s="5" t="s">
        <v>48</v>
      </c>
      <c r="G700" s="5" t="s">
        <v>49</v>
      </c>
      <c r="H700" s="5">
        <v>89</v>
      </c>
      <c r="I700" s="6">
        <v>790</v>
      </c>
      <c r="J700" s="6">
        <v>70310</v>
      </c>
      <c r="K700" s="5">
        <v>0</v>
      </c>
      <c r="L700" s="6">
        <v>70310</v>
      </c>
      <c r="M700" s="6">
        <v>39461.919999999998</v>
      </c>
      <c r="N700" s="6">
        <v>30848.080000000002</v>
      </c>
      <c r="O700" s="7">
        <v>43.87</v>
      </c>
      <c r="P700" s="5" t="s">
        <v>22</v>
      </c>
    </row>
    <row r="701" spans="1:16" x14ac:dyDescent="0.3">
      <c r="A701" s="2">
        <v>2091</v>
      </c>
      <c r="B701" s="2" t="s">
        <v>76</v>
      </c>
      <c r="C701" s="2" t="s">
        <v>77</v>
      </c>
      <c r="D701" s="2" t="s">
        <v>36</v>
      </c>
      <c r="E701" s="2" t="s">
        <v>44</v>
      </c>
      <c r="F701" s="2" t="s">
        <v>20</v>
      </c>
      <c r="G701" s="2" t="s">
        <v>64</v>
      </c>
      <c r="H701" s="2">
        <v>166</v>
      </c>
      <c r="I701" s="3">
        <v>192</v>
      </c>
      <c r="J701" s="3">
        <v>31872</v>
      </c>
      <c r="K701" s="2">
        <v>5</v>
      </c>
      <c r="L701" s="3">
        <v>30278.400000000001</v>
      </c>
      <c r="M701" s="3">
        <v>17455.28</v>
      </c>
      <c r="N701" s="3">
        <v>12823.12</v>
      </c>
      <c r="O701" s="4">
        <v>42.35</v>
      </c>
      <c r="P701" s="2" t="s">
        <v>43</v>
      </c>
    </row>
    <row r="702" spans="1:16" x14ac:dyDescent="0.3">
      <c r="A702" s="5">
        <v>1150</v>
      </c>
      <c r="B702" s="5" t="s">
        <v>23</v>
      </c>
      <c r="C702" s="5" t="s">
        <v>24</v>
      </c>
      <c r="D702" s="5" t="s">
        <v>25</v>
      </c>
      <c r="E702" s="5" t="s">
        <v>19</v>
      </c>
      <c r="F702" s="5" t="s">
        <v>48</v>
      </c>
      <c r="G702" s="5" t="s">
        <v>72</v>
      </c>
      <c r="H702" s="5">
        <v>85</v>
      </c>
      <c r="I702" s="6">
        <v>3530</v>
      </c>
      <c r="J702" s="6">
        <v>300050</v>
      </c>
      <c r="K702" s="5">
        <v>15</v>
      </c>
      <c r="L702" s="6">
        <v>255042.5</v>
      </c>
      <c r="M702" s="6">
        <v>142347.03</v>
      </c>
      <c r="N702" s="6">
        <v>112695.47</v>
      </c>
      <c r="O702" s="7">
        <v>44.19</v>
      </c>
      <c r="P702" s="5" t="s">
        <v>41</v>
      </c>
    </row>
    <row r="703" spans="1:16" x14ac:dyDescent="0.3">
      <c r="A703" s="2">
        <v>2167</v>
      </c>
      <c r="B703" s="2" t="s">
        <v>46</v>
      </c>
      <c r="C703" s="2" t="s">
        <v>47</v>
      </c>
      <c r="D703" s="2" t="s">
        <v>36</v>
      </c>
      <c r="E703" s="2" t="s">
        <v>42</v>
      </c>
      <c r="F703" s="2" t="s">
        <v>20</v>
      </c>
      <c r="G703" s="2" t="s">
        <v>80</v>
      </c>
      <c r="H703" s="2">
        <v>122</v>
      </c>
      <c r="I703" s="3">
        <v>73</v>
      </c>
      <c r="J703" s="3">
        <v>8906</v>
      </c>
      <c r="K703" s="2">
        <v>0</v>
      </c>
      <c r="L703" s="3">
        <v>8906</v>
      </c>
      <c r="M703" s="3">
        <v>5710.73</v>
      </c>
      <c r="N703" s="3">
        <v>3195.27</v>
      </c>
      <c r="O703" s="4">
        <v>35.880000000000003</v>
      </c>
      <c r="P703" s="2" t="s">
        <v>45</v>
      </c>
    </row>
    <row r="704" spans="1:16" x14ac:dyDescent="0.3">
      <c r="A704" s="5">
        <v>1185</v>
      </c>
      <c r="B704" s="5" t="s">
        <v>23</v>
      </c>
      <c r="C704" s="5" t="s">
        <v>24</v>
      </c>
      <c r="D704" s="5" t="s">
        <v>25</v>
      </c>
      <c r="E704" s="5" t="s">
        <v>44</v>
      </c>
      <c r="F704" s="5" t="s">
        <v>37</v>
      </c>
      <c r="G704" s="5" t="s">
        <v>67</v>
      </c>
      <c r="H704" s="5">
        <v>75</v>
      </c>
      <c r="I704" s="6">
        <v>1949</v>
      </c>
      <c r="J704" s="6">
        <v>146175</v>
      </c>
      <c r="K704" s="5">
        <v>0</v>
      </c>
      <c r="L704" s="6">
        <v>146175</v>
      </c>
      <c r="M704" s="6">
        <v>86030.64</v>
      </c>
      <c r="N704" s="6">
        <v>60144.36</v>
      </c>
      <c r="O704" s="7">
        <v>41.15</v>
      </c>
      <c r="P704" s="5" t="s">
        <v>39</v>
      </c>
    </row>
    <row r="705" spans="1:16" x14ac:dyDescent="0.3">
      <c r="A705" s="2">
        <v>1429</v>
      </c>
      <c r="B705" s="2" t="s">
        <v>54</v>
      </c>
      <c r="C705" s="2" t="s">
        <v>55</v>
      </c>
      <c r="D705" s="2" t="s">
        <v>56</v>
      </c>
      <c r="E705" s="2" t="s">
        <v>19</v>
      </c>
      <c r="F705" s="2" t="s">
        <v>27</v>
      </c>
      <c r="G705" s="2" t="s">
        <v>66</v>
      </c>
      <c r="H705" s="2">
        <v>135</v>
      </c>
      <c r="I705" s="3">
        <v>867</v>
      </c>
      <c r="J705" s="3">
        <v>117045</v>
      </c>
      <c r="K705" s="2">
        <v>5</v>
      </c>
      <c r="L705" s="3">
        <v>111192.75</v>
      </c>
      <c r="M705" s="3">
        <v>64682.22</v>
      </c>
      <c r="N705" s="3">
        <v>46510.53</v>
      </c>
      <c r="O705" s="4">
        <v>41.83</v>
      </c>
      <c r="P705" s="2" t="s">
        <v>39</v>
      </c>
    </row>
    <row r="706" spans="1:16" x14ac:dyDescent="0.3">
      <c r="A706" s="5">
        <v>1194</v>
      </c>
      <c r="B706" s="5" t="s">
        <v>23</v>
      </c>
      <c r="C706" s="5" t="s">
        <v>24</v>
      </c>
      <c r="D706" s="5" t="s">
        <v>25</v>
      </c>
      <c r="E706" s="5" t="s">
        <v>44</v>
      </c>
      <c r="F706" s="5" t="s">
        <v>20</v>
      </c>
      <c r="G706" s="5" t="s">
        <v>68</v>
      </c>
      <c r="H706" s="5">
        <v>127</v>
      </c>
      <c r="I706" s="6">
        <v>138</v>
      </c>
      <c r="J706" s="6">
        <v>17526</v>
      </c>
      <c r="K706" s="5">
        <v>5</v>
      </c>
      <c r="L706" s="6">
        <v>16649.7</v>
      </c>
      <c r="M706" s="6">
        <v>11373.23</v>
      </c>
      <c r="N706" s="6">
        <v>5276.47</v>
      </c>
      <c r="O706" s="7">
        <v>31.69</v>
      </c>
      <c r="P706" s="5" t="s">
        <v>61</v>
      </c>
    </row>
    <row r="707" spans="1:16" x14ac:dyDescent="0.3">
      <c r="A707" s="5">
        <v>1290</v>
      </c>
      <c r="B707" s="5" t="s">
        <v>52</v>
      </c>
      <c r="C707" s="5" t="s">
        <v>53</v>
      </c>
      <c r="D707" s="5" t="s">
        <v>25</v>
      </c>
      <c r="E707" s="5" t="s">
        <v>44</v>
      </c>
      <c r="F707" s="5" t="s">
        <v>32</v>
      </c>
      <c r="G707" s="5" t="s">
        <v>65</v>
      </c>
      <c r="H707" s="5">
        <v>133</v>
      </c>
      <c r="I707" s="6">
        <v>5043</v>
      </c>
      <c r="J707" s="6">
        <v>670719</v>
      </c>
      <c r="K707" s="5">
        <v>5</v>
      </c>
      <c r="L707" s="6">
        <v>637183.05000000005</v>
      </c>
      <c r="M707" s="6">
        <v>353950.8</v>
      </c>
      <c r="N707" s="6">
        <v>283232.25</v>
      </c>
      <c r="O707" s="7">
        <v>44.45</v>
      </c>
      <c r="P707" s="5" t="s">
        <v>45</v>
      </c>
    </row>
    <row r="708" spans="1:16" x14ac:dyDescent="0.3">
      <c r="A708" s="2">
        <v>1221</v>
      </c>
      <c r="B708" s="2" t="s">
        <v>52</v>
      </c>
      <c r="C708" s="2" t="s">
        <v>53</v>
      </c>
      <c r="D708" s="2" t="s">
        <v>25</v>
      </c>
      <c r="E708" s="2" t="s">
        <v>26</v>
      </c>
      <c r="F708" s="2" t="s">
        <v>48</v>
      </c>
      <c r="G708" s="2" t="s">
        <v>69</v>
      </c>
      <c r="H708" s="2">
        <v>39</v>
      </c>
      <c r="I708" s="3">
        <v>1196</v>
      </c>
      <c r="J708" s="3">
        <v>46644</v>
      </c>
      <c r="K708" s="2">
        <v>0</v>
      </c>
      <c r="L708" s="3">
        <v>46644</v>
      </c>
      <c r="M708" s="3">
        <v>28103.81</v>
      </c>
      <c r="N708" s="3">
        <v>18540.189999999999</v>
      </c>
      <c r="O708" s="4">
        <v>39.75</v>
      </c>
      <c r="P708" s="2" t="s">
        <v>41</v>
      </c>
    </row>
    <row r="709" spans="1:16" x14ac:dyDescent="0.3">
      <c r="A709" s="5">
        <v>1847</v>
      </c>
      <c r="B709" s="5" t="s">
        <v>70</v>
      </c>
      <c r="C709" s="5" t="s">
        <v>71</v>
      </c>
      <c r="D709" s="5" t="s">
        <v>18</v>
      </c>
      <c r="E709" s="5" t="s">
        <v>19</v>
      </c>
      <c r="F709" s="5" t="s">
        <v>48</v>
      </c>
      <c r="G709" s="5" t="s">
        <v>78</v>
      </c>
      <c r="H709" s="5">
        <v>55</v>
      </c>
      <c r="I709" s="6">
        <v>593</v>
      </c>
      <c r="J709" s="6">
        <v>32615</v>
      </c>
      <c r="K709" s="5">
        <v>10</v>
      </c>
      <c r="L709" s="6">
        <v>29353.5</v>
      </c>
      <c r="M709" s="6">
        <v>19437.43</v>
      </c>
      <c r="N709" s="6">
        <v>9916.07</v>
      </c>
      <c r="O709" s="7">
        <v>33.78</v>
      </c>
      <c r="P709" s="5" t="s">
        <v>39</v>
      </c>
    </row>
    <row r="710" spans="1:16" x14ac:dyDescent="0.3">
      <c r="A710" s="2">
        <v>1212</v>
      </c>
      <c r="B710" s="2" t="s">
        <v>52</v>
      </c>
      <c r="C710" s="2" t="s">
        <v>53</v>
      </c>
      <c r="D710" s="2" t="s">
        <v>25</v>
      </c>
      <c r="E710" s="2" t="s">
        <v>26</v>
      </c>
      <c r="F710" s="2" t="s">
        <v>32</v>
      </c>
      <c r="G710" s="2" t="s">
        <v>75</v>
      </c>
      <c r="H710" s="2">
        <v>68</v>
      </c>
      <c r="I710" s="3">
        <v>12234</v>
      </c>
      <c r="J710" s="3">
        <v>831912</v>
      </c>
      <c r="K710" s="2">
        <v>5</v>
      </c>
      <c r="L710" s="3">
        <v>790316.4</v>
      </c>
      <c r="M710" s="3">
        <v>488460.83</v>
      </c>
      <c r="N710" s="3">
        <v>301855.57</v>
      </c>
      <c r="O710" s="4">
        <v>38.19</v>
      </c>
      <c r="P710" s="2" t="s">
        <v>22</v>
      </c>
    </row>
    <row r="711" spans="1:16" x14ac:dyDescent="0.3">
      <c r="A711" s="5">
        <v>1442</v>
      </c>
      <c r="B711" s="5" t="s">
        <v>54</v>
      </c>
      <c r="C711" s="5" t="s">
        <v>55</v>
      </c>
      <c r="D711" s="5" t="s">
        <v>56</v>
      </c>
      <c r="E711" s="5" t="s">
        <v>19</v>
      </c>
      <c r="F711" s="5" t="s">
        <v>20</v>
      </c>
      <c r="G711" s="5" t="s">
        <v>80</v>
      </c>
      <c r="H711" s="5">
        <v>33</v>
      </c>
      <c r="I711" s="6">
        <v>73</v>
      </c>
      <c r="J711" s="6">
        <v>2409</v>
      </c>
      <c r="K711" s="5">
        <v>0</v>
      </c>
      <c r="L711" s="6">
        <v>2409</v>
      </c>
      <c r="M711" s="6">
        <v>1540.65</v>
      </c>
      <c r="N711" s="6">
        <v>868.35</v>
      </c>
      <c r="O711" s="7">
        <v>36.049999999999997</v>
      </c>
      <c r="P711" s="5" t="s">
        <v>41</v>
      </c>
    </row>
    <row r="712" spans="1:16" x14ac:dyDescent="0.3">
      <c r="A712" s="2">
        <v>1796</v>
      </c>
      <c r="B712" s="2" t="s">
        <v>30</v>
      </c>
      <c r="C712" s="2" t="s">
        <v>31</v>
      </c>
      <c r="D712" s="2" t="s">
        <v>18</v>
      </c>
      <c r="E712" s="2" t="s">
        <v>44</v>
      </c>
      <c r="F712" s="2" t="s">
        <v>48</v>
      </c>
      <c r="G712" s="2" t="s">
        <v>69</v>
      </c>
      <c r="H712" s="2">
        <v>44</v>
      </c>
      <c r="I712" s="3">
        <v>1236</v>
      </c>
      <c r="J712" s="3">
        <v>54384</v>
      </c>
      <c r="K712" s="2">
        <v>5</v>
      </c>
      <c r="L712" s="3">
        <v>51664.800000000003</v>
      </c>
      <c r="M712" s="3">
        <v>30440.66</v>
      </c>
      <c r="N712" s="3">
        <v>21224.14</v>
      </c>
      <c r="O712" s="4">
        <v>41.08</v>
      </c>
      <c r="P712" s="2" t="s">
        <v>22</v>
      </c>
    </row>
    <row r="713" spans="1:16" x14ac:dyDescent="0.3">
      <c r="A713" s="5">
        <v>1392</v>
      </c>
      <c r="B713" s="5" t="s">
        <v>57</v>
      </c>
      <c r="C713" s="5" t="s">
        <v>58</v>
      </c>
      <c r="D713" s="5" t="s">
        <v>56</v>
      </c>
      <c r="E713" s="5" t="s">
        <v>44</v>
      </c>
      <c r="F713" s="5" t="s">
        <v>20</v>
      </c>
      <c r="G713" s="5" t="s">
        <v>80</v>
      </c>
      <c r="H713" s="5">
        <v>52</v>
      </c>
      <c r="I713" s="6">
        <v>78</v>
      </c>
      <c r="J713" s="6">
        <v>4056</v>
      </c>
      <c r="K713" s="5">
        <v>5</v>
      </c>
      <c r="L713" s="6">
        <v>3853.2</v>
      </c>
      <c r="M713" s="6">
        <v>2228.1999999999998</v>
      </c>
      <c r="N713" s="6">
        <v>1625</v>
      </c>
      <c r="O713" s="7">
        <v>42.17</v>
      </c>
      <c r="P713" s="5" t="s">
        <v>29</v>
      </c>
    </row>
    <row r="714" spans="1:16" x14ac:dyDescent="0.3">
      <c r="A714" s="2">
        <v>1741</v>
      </c>
      <c r="B714" s="2" t="s">
        <v>30</v>
      </c>
      <c r="C714" s="2" t="s">
        <v>31</v>
      </c>
      <c r="D714" s="2" t="s">
        <v>18</v>
      </c>
      <c r="E714" s="2" t="s">
        <v>19</v>
      </c>
      <c r="F714" s="2" t="s">
        <v>20</v>
      </c>
      <c r="G714" s="2" t="s">
        <v>64</v>
      </c>
      <c r="H714" s="2">
        <v>32</v>
      </c>
      <c r="I714" s="3">
        <v>182</v>
      </c>
      <c r="J714" s="3">
        <v>5824</v>
      </c>
      <c r="K714" s="2">
        <v>5</v>
      </c>
      <c r="L714" s="3">
        <v>5532.8</v>
      </c>
      <c r="M714" s="3">
        <v>3506.21</v>
      </c>
      <c r="N714" s="3">
        <v>2026.59</v>
      </c>
      <c r="O714" s="4">
        <v>36.630000000000003</v>
      </c>
      <c r="P714" s="2" t="s">
        <v>45</v>
      </c>
    </row>
    <row r="715" spans="1:16" x14ac:dyDescent="0.3">
      <c r="A715" s="5">
        <v>1295</v>
      </c>
      <c r="B715" s="5" t="s">
        <v>52</v>
      </c>
      <c r="C715" s="5" t="s">
        <v>53</v>
      </c>
      <c r="D715" s="5" t="s">
        <v>25</v>
      </c>
      <c r="E715" s="5" t="s">
        <v>44</v>
      </c>
      <c r="F715" s="5" t="s">
        <v>20</v>
      </c>
      <c r="G715" s="5" t="s">
        <v>60</v>
      </c>
      <c r="H715" s="5">
        <v>27</v>
      </c>
      <c r="I715" s="6">
        <v>92</v>
      </c>
      <c r="J715" s="6">
        <v>2484</v>
      </c>
      <c r="K715" s="5">
        <v>0</v>
      </c>
      <c r="L715" s="6">
        <v>2484</v>
      </c>
      <c r="M715" s="6">
        <v>1569.44</v>
      </c>
      <c r="N715" s="6">
        <v>914.56</v>
      </c>
      <c r="O715" s="7">
        <v>36.82</v>
      </c>
      <c r="P715" s="5" t="s">
        <v>41</v>
      </c>
    </row>
    <row r="716" spans="1:16" x14ac:dyDescent="0.3">
      <c r="A716" s="2">
        <v>1273</v>
      </c>
      <c r="B716" s="2" t="s">
        <v>52</v>
      </c>
      <c r="C716" s="2" t="s">
        <v>53</v>
      </c>
      <c r="D716" s="2" t="s">
        <v>25</v>
      </c>
      <c r="E716" s="2" t="s">
        <v>42</v>
      </c>
      <c r="F716" s="2" t="s">
        <v>48</v>
      </c>
      <c r="G716" s="2" t="s">
        <v>49</v>
      </c>
      <c r="H716" s="2">
        <v>66</v>
      </c>
      <c r="I716" s="3">
        <v>733</v>
      </c>
      <c r="J716" s="3">
        <v>48378</v>
      </c>
      <c r="K716" s="2">
        <v>5</v>
      </c>
      <c r="L716" s="3">
        <v>45959.1</v>
      </c>
      <c r="M716" s="3">
        <v>25471.83</v>
      </c>
      <c r="N716" s="3">
        <v>20487.27</v>
      </c>
      <c r="O716" s="4">
        <v>44.58</v>
      </c>
      <c r="P716" s="2" t="s">
        <v>29</v>
      </c>
    </row>
    <row r="717" spans="1:16" x14ac:dyDescent="0.3">
      <c r="A717" s="5">
        <v>1196</v>
      </c>
      <c r="B717" s="5" t="s">
        <v>23</v>
      </c>
      <c r="C717" s="5" t="s">
        <v>24</v>
      </c>
      <c r="D717" s="5" t="s">
        <v>25</v>
      </c>
      <c r="E717" s="5" t="s">
        <v>44</v>
      </c>
      <c r="F717" s="5" t="s">
        <v>48</v>
      </c>
      <c r="G717" s="5" t="s">
        <v>69</v>
      </c>
      <c r="H717" s="5">
        <v>114</v>
      </c>
      <c r="I717" s="6">
        <v>1237</v>
      </c>
      <c r="J717" s="6">
        <v>141018</v>
      </c>
      <c r="K717" s="5">
        <v>20</v>
      </c>
      <c r="L717" s="6">
        <v>112814.39999999999</v>
      </c>
      <c r="M717" s="6">
        <v>72466.09</v>
      </c>
      <c r="N717" s="6">
        <v>40348.31</v>
      </c>
      <c r="O717" s="7">
        <v>35.770000000000003</v>
      </c>
      <c r="P717" s="5" t="s">
        <v>50</v>
      </c>
    </row>
    <row r="718" spans="1:16" x14ac:dyDescent="0.3">
      <c r="A718" s="5">
        <v>2094</v>
      </c>
      <c r="B718" s="5" t="s">
        <v>76</v>
      </c>
      <c r="C718" s="5" t="s">
        <v>77</v>
      </c>
      <c r="D718" s="5" t="s">
        <v>36</v>
      </c>
      <c r="E718" s="5" t="s">
        <v>44</v>
      </c>
      <c r="F718" s="5" t="s">
        <v>20</v>
      </c>
      <c r="G718" s="5" t="s">
        <v>68</v>
      </c>
      <c r="H718" s="5">
        <v>161</v>
      </c>
      <c r="I718" s="6">
        <v>139</v>
      </c>
      <c r="J718" s="6">
        <v>22379</v>
      </c>
      <c r="K718" s="5">
        <v>5</v>
      </c>
      <c r="L718" s="6">
        <v>21260.05</v>
      </c>
      <c r="M718" s="6">
        <v>11773.92</v>
      </c>
      <c r="N718" s="6">
        <v>9486.1299999999992</v>
      </c>
      <c r="O718" s="7">
        <v>44.62</v>
      </c>
      <c r="P718" s="5" t="s">
        <v>45</v>
      </c>
    </row>
    <row r="719" spans="1:16" x14ac:dyDescent="0.3">
      <c r="A719" s="2">
        <v>1773</v>
      </c>
      <c r="B719" s="2" t="s">
        <v>30</v>
      </c>
      <c r="C719" s="2" t="s">
        <v>31</v>
      </c>
      <c r="D719" s="2" t="s">
        <v>18</v>
      </c>
      <c r="E719" s="2" t="s">
        <v>42</v>
      </c>
      <c r="F719" s="2" t="s">
        <v>48</v>
      </c>
      <c r="G719" s="2" t="s">
        <v>49</v>
      </c>
      <c r="H719" s="2">
        <v>77</v>
      </c>
      <c r="I719" s="3">
        <v>825</v>
      </c>
      <c r="J719" s="3">
        <v>63525</v>
      </c>
      <c r="K719" s="2">
        <v>0</v>
      </c>
      <c r="L719" s="3">
        <v>63525</v>
      </c>
      <c r="M719" s="3">
        <v>39861.9</v>
      </c>
      <c r="N719" s="3">
        <v>23663.1</v>
      </c>
      <c r="O719" s="4">
        <v>37.25</v>
      </c>
      <c r="P719" s="2" t="s">
        <v>22</v>
      </c>
    </row>
    <row r="720" spans="1:16" x14ac:dyDescent="0.3">
      <c r="A720" s="5">
        <v>1122</v>
      </c>
      <c r="B720" s="5" t="s">
        <v>23</v>
      </c>
      <c r="C720" s="5" t="s">
        <v>24</v>
      </c>
      <c r="D720" s="5" t="s">
        <v>25</v>
      </c>
      <c r="E720" s="5" t="s">
        <v>26</v>
      </c>
      <c r="F720" s="5" t="s">
        <v>48</v>
      </c>
      <c r="G720" s="5" t="s">
        <v>78</v>
      </c>
      <c r="H720" s="5">
        <v>76</v>
      </c>
      <c r="I720" s="6">
        <v>604</v>
      </c>
      <c r="J720" s="6">
        <v>45904</v>
      </c>
      <c r="K720" s="5">
        <v>15</v>
      </c>
      <c r="L720" s="6">
        <v>39018.400000000001</v>
      </c>
      <c r="M720" s="6">
        <v>27293.16</v>
      </c>
      <c r="N720" s="6">
        <v>11725.24</v>
      </c>
      <c r="O720" s="7">
        <v>30.05</v>
      </c>
      <c r="P720" s="5" t="s">
        <v>41</v>
      </c>
    </row>
    <row r="721" spans="1:16" x14ac:dyDescent="0.3">
      <c r="A721" s="2">
        <v>1507</v>
      </c>
      <c r="B721" s="2" t="s">
        <v>73</v>
      </c>
      <c r="C721" s="2" t="s">
        <v>74</v>
      </c>
      <c r="D721" s="2" t="s">
        <v>56</v>
      </c>
      <c r="E721" s="2" t="s">
        <v>26</v>
      </c>
      <c r="F721" s="2" t="s">
        <v>37</v>
      </c>
      <c r="G721" s="2" t="s">
        <v>79</v>
      </c>
      <c r="H721" s="2">
        <v>138</v>
      </c>
      <c r="I721" s="3">
        <v>1261</v>
      </c>
      <c r="J721" s="3">
        <v>174018</v>
      </c>
      <c r="K721" s="2">
        <v>15</v>
      </c>
      <c r="L721" s="3">
        <v>147915.29999999999</v>
      </c>
      <c r="M721" s="3">
        <v>95896.86</v>
      </c>
      <c r="N721" s="3">
        <v>52018.44</v>
      </c>
      <c r="O721" s="4">
        <v>35.17</v>
      </c>
      <c r="P721" s="2" t="s">
        <v>29</v>
      </c>
    </row>
    <row r="722" spans="1:16" x14ac:dyDescent="0.3">
      <c r="A722" s="5">
        <v>2068</v>
      </c>
      <c r="B722" s="5" t="s">
        <v>76</v>
      </c>
      <c r="C722" s="5" t="s">
        <v>77</v>
      </c>
      <c r="D722" s="5" t="s">
        <v>36</v>
      </c>
      <c r="E722" s="5" t="s">
        <v>42</v>
      </c>
      <c r="F722" s="5" t="s">
        <v>20</v>
      </c>
      <c r="G722" s="5" t="s">
        <v>21</v>
      </c>
      <c r="H722" s="5">
        <v>102</v>
      </c>
      <c r="I722" s="6">
        <v>116</v>
      </c>
      <c r="J722" s="6">
        <v>11832</v>
      </c>
      <c r="K722" s="5">
        <v>0</v>
      </c>
      <c r="L722" s="6">
        <v>11832</v>
      </c>
      <c r="M722" s="6">
        <v>6680.4</v>
      </c>
      <c r="N722" s="6">
        <v>5151.6000000000004</v>
      </c>
      <c r="O722" s="7">
        <v>43.54</v>
      </c>
      <c r="P722" s="5" t="s">
        <v>41</v>
      </c>
    </row>
    <row r="723" spans="1:16" x14ac:dyDescent="0.3">
      <c r="A723" s="2">
        <v>1825</v>
      </c>
      <c r="B723" s="2" t="s">
        <v>70</v>
      </c>
      <c r="C723" s="2" t="s">
        <v>71</v>
      </c>
      <c r="D723" s="2" t="s">
        <v>18</v>
      </c>
      <c r="E723" s="2" t="s">
        <v>26</v>
      </c>
      <c r="F723" s="2" t="s">
        <v>48</v>
      </c>
      <c r="G723" s="2" t="s">
        <v>72</v>
      </c>
      <c r="H723" s="2">
        <v>150</v>
      </c>
      <c r="I723" s="3">
        <v>3410</v>
      </c>
      <c r="J723" s="3">
        <v>511500</v>
      </c>
      <c r="K723" s="2">
        <v>10</v>
      </c>
      <c r="L723" s="3">
        <v>460350</v>
      </c>
      <c r="M723" s="3">
        <v>287189.83</v>
      </c>
      <c r="N723" s="3">
        <v>173160.17</v>
      </c>
      <c r="O723" s="4">
        <v>37.61</v>
      </c>
      <c r="P723" s="2" t="s">
        <v>50</v>
      </c>
    </row>
    <row r="724" spans="1:16" x14ac:dyDescent="0.3">
      <c r="A724" s="5">
        <v>1446</v>
      </c>
      <c r="B724" s="5" t="s">
        <v>54</v>
      </c>
      <c r="C724" s="5" t="s">
        <v>55</v>
      </c>
      <c r="D724" s="5" t="s">
        <v>56</v>
      </c>
      <c r="E724" s="5" t="s">
        <v>19</v>
      </c>
      <c r="F724" s="5" t="s">
        <v>48</v>
      </c>
      <c r="G724" s="5" t="s">
        <v>69</v>
      </c>
      <c r="H724" s="5">
        <v>38</v>
      </c>
      <c r="I724" s="6">
        <v>1120</v>
      </c>
      <c r="J724" s="6">
        <v>42560</v>
      </c>
      <c r="K724" s="5">
        <v>5</v>
      </c>
      <c r="L724" s="6">
        <v>40432</v>
      </c>
      <c r="M724" s="6">
        <v>24791.5</v>
      </c>
      <c r="N724" s="6">
        <v>15640.5</v>
      </c>
      <c r="O724" s="7">
        <v>38.68</v>
      </c>
      <c r="P724" s="5" t="s">
        <v>39</v>
      </c>
    </row>
    <row r="725" spans="1:16" x14ac:dyDescent="0.3">
      <c r="A725" s="2">
        <v>1539</v>
      </c>
      <c r="B725" s="2" t="s">
        <v>73</v>
      </c>
      <c r="C725" s="2" t="s">
        <v>74</v>
      </c>
      <c r="D725" s="2" t="s">
        <v>56</v>
      </c>
      <c r="E725" s="2" t="s">
        <v>19</v>
      </c>
      <c r="F725" s="2" t="s">
        <v>32</v>
      </c>
      <c r="G725" s="2" t="s">
        <v>33</v>
      </c>
      <c r="H725" s="2">
        <v>147</v>
      </c>
      <c r="I725" s="3">
        <v>10715</v>
      </c>
      <c r="J725" s="3">
        <v>1575105</v>
      </c>
      <c r="K725" s="2">
        <v>15</v>
      </c>
      <c r="L725" s="3">
        <v>1338839.25</v>
      </c>
      <c r="M725" s="3">
        <v>781450.07</v>
      </c>
      <c r="N725" s="3">
        <v>557389.18000000005</v>
      </c>
      <c r="O725" s="4">
        <v>41.63</v>
      </c>
      <c r="P725" s="2" t="s">
        <v>45</v>
      </c>
    </row>
    <row r="726" spans="1:16" x14ac:dyDescent="0.3">
      <c r="A726" s="5">
        <v>1736</v>
      </c>
      <c r="B726" s="5" t="s">
        <v>30</v>
      </c>
      <c r="C726" s="5" t="s">
        <v>31</v>
      </c>
      <c r="D726" s="5" t="s">
        <v>18</v>
      </c>
      <c r="E726" s="5" t="s">
        <v>19</v>
      </c>
      <c r="F726" s="5" t="s">
        <v>32</v>
      </c>
      <c r="G726" s="5" t="s">
        <v>40</v>
      </c>
      <c r="H726" s="5">
        <v>90</v>
      </c>
      <c r="I726" s="6">
        <v>18031</v>
      </c>
      <c r="J726" s="6">
        <v>1622790</v>
      </c>
      <c r="K726" s="5">
        <v>20</v>
      </c>
      <c r="L726" s="6">
        <v>1298232</v>
      </c>
      <c r="M726" s="6">
        <v>722567.04</v>
      </c>
      <c r="N726" s="6">
        <v>575664.96</v>
      </c>
      <c r="O726" s="7">
        <v>44.34</v>
      </c>
      <c r="P726" s="5" t="s">
        <v>45</v>
      </c>
    </row>
    <row r="727" spans="1:16" x14ac:dyDescent="0.3">
      <c r="A727" s="2">
        <v>1015</v>
      </c>
      <c r="B727" s="2" t="s">
        <v>62</v>
      </c>
      <c r="C727" s="2" t="s">
        <v>63</v>
      </c>
      <c r="D727" s="2" t="s">
        <v>25</v>
      </c>
      <c r="E727" s="2" t="s">
        <v>26</v>
      </c>
      <c r="F727" s="2" t="s">
        <v>32</v>
      </c>
      <c r="G727" s="2" t="s">
        <v>65</v>
      </c>
      <c r="H727" s="2">
        <v>41</v>
      </c>
      <c r="I727" s="3">
        <v>5443</v>
      </c>
      <c r="J727" s="3">
        <v>223163</v>
      </c>
      <c r="K727" s="2">
        <v>10</v>
      </c>
      <c r="L727" s="3">
        <v>200846.7</v>
      </c>
      <c r="M727" s="3">
        <v>116871.49</v>
      </c>
      <c r="N727" s="3">
        <v>83975.21</v>
      </c>
      <c r="O727" s="4">
        <v>41.81</v>
      </c>
      <c r="P727" s="2" t="s">
        <v>39</v>
      </c>
    </row>
    <row r="728" spans="1:16" x14ac:dyDescent="0.3">
      <c r="A728" s="5">
        <v>1121</v>
      </c>
      <c r="B728" s="5" t="s">
        <v>23</v>
      </c>
      <c r="C728" s="5" t="s">
        <v>24</v>
      </c>
      <c r="D728" s="5" t="s">
        <v>25</v>
      </c>
      <c r="E728" s="5" t="s">
        <v>26</v>
      </c>
      <c r="F728" s="5" t="s">
        <v>48</v>
      </c>
      <c r="G728" s="5" t="s">
        <v>69</v>
      </c>
      <c r="H728" s="5">
        <v>30</v>
      </c>
      <c r="I728" s="6">
        <v>1133</v>
      </c>
      <c r="J728" s="6">
        <v>33990</v>
      </c>
      <c r="K728" s="5">
        <v>5</v>
      </c>
      <c r="L728" s="6">
        <v>32290.5</v>
      </c>
      <c r="M728" s="6">
        <v>19242.91</v>
      </c>
      <c r="N728" s="6">
        <v>13047.59</v>
      </c>
      <c r="O728" s="7">
        <v>40.409999999999997</v>
      </c>
      <c r="P728" s="5" t="s">
        <v>41</v>
      </c>
    </row>
    <row r="729" spans="1:16" x14ac:dyDescent="0.3">
      <c r="A729" s="2">
        <v>1581</v>
      </c>
      <c r="B729" s="2" t="s">
        <v>73</v>
      </c>
      <c r="C729" s="2" t="s">
        <v>74</v>
      </c>
      <c r="D729" s="2" t="s">
        <v>56</v>
      </c>
      <c r="E729" s="2" t="s">
        <v>44</v>
      </c>
      <c r="F729" s="2" t="s">
        <v>37</v>
      </c>
      <c r="G729" s="2" t="s">
        <v>59</v>
      </c>
      <c r="H729" s="2">
        <v>97</v>
      </c>
      <c r="I729" s="3">
        <v>450</v>
      </c>
      <c r="J729" s="3">
        <v>43650</v>
      </c>
      <c r="K729" s="2">
        <v>5</v>
      </c>
      <c r="L729" s="3">
        <v>41467.5</v>
      </c>
      <c r="M729" s="3">
        <v>27823.32</v>
      </c>
      <c r="N729" s="3">
        <v>13644.18</v>
      </c>
      <c r="O729" s="4">
        <v>32.9</v>
      </c>
      <c r="P729" s="2" t="s">
        <v>41</v>
      </c>
    </row>
    <row r="730" spans="1:16" x14ac:dyDescent="0.3">
      <c r="A730" s="2">
        <v>1778</v>
      </c>
      <c r="B730" s="2" t="s">
        <v>30</v>
      </c>
      <c r="C730" s="2" t="s">
        <v>31</v>
      </c>
      <c r="D730" s="2" t="s">
        <v>18</v>
      </c>
      <c r="E730" s="2" t="s">
        <v>44</v>
      </c>
      <c r="F730" s="2" t="s">
        <v>27</v>
      </c>
      <c r="G730" s="2" t="s">
        <v>83</v>
      </c>
      <c r="H730" s="2">
        <v>137</v>
      </c>
      <c r="I730" s="3">
        <v>5220</v>
      </c>
      <c r="J730" s="3">
        <v>715140</v>
      </c>
      <c r="K730" s="2">
        <v>20</v>
      </c>
      <c r="L730" s="3">
        <v>572112</v>
      </c>
      <c r="M730" s="3">
        <v>372607.63</v>
      </c>
      <c r="N730" s="3">
        <v>199504.37</v>
      </c>
      <c r="O730" s="4">
        <v>34.869999999999997</v>
      </c>
      <c r="P730" s="2" t="s">
        <v>39</v>
      </c>
    </row>
    <row r="731" spans="1:16" x14ac:dyDescent="0.3">
      <c r="A731" s="5">
        <v>1765</v>
      </c>
      <c r="B731" s="5" t="s">
        <v>30</v>
      </c>
      <c r="C731" s="5" t="s">
        <v>31</v>
      </c>
      <c r="D731" s="5" t="s">
        <v>18</v>
      </c>
      <c r="E731" s="5" t="s">
        <v>42</v>
      </c>
      <c r="F731" s="5" t="s">
        <v>32</v>
      </c>
      <c r="G731" s="5" t="s">
        <v>65</v>
      </c>
      <c r="H731" s="5">
        <v>78</v>
      </c>
      <c r="I731" s="6">
        <v>4723</v>
      </c>
      <c r="J731" s="6">
        <v>368394</v>
      </c>
      <c r="K731" s="5">
        <v>5</v>
      </c>
      <c r="L731" s="6">
        <v>349974.3</v>
      </c>
      <c r="M731" s="6">
        <v>199514.12</v>
      </c>
      <c r="N731" s="6">
        <v>150460.18</v>
      </c>
      <c r="O731" s="7">
        <v>42.99</v>
      </c>
      <c r="P731" s="5" t="s">
        <v>29</v>
      </c>
    </row>
    <row r="732" spans="1:16" x14ac:dyDescent="0.3">
      <c r="A732" s="2">
        <v>1153</v>
      </c>
      <c r="B732" s="2" t="s">
        <v>23</v>
      </c>
      <c r="C732" s="2" t="s">
        <v>24</v>
      </c>
      <c r="D732" s="2" t="s">
        <v>25</v>
      </c>
      <c r="E732" s="2" t="s">
        <v>42</v>
      </c>
      <c r="F732" s="2" t="s">
        <v>27</v>
      </c>
      <c r="G732" s="2" t="s">
        <v>83</v>
      </c>
      <c r="H732" s="2">
        <v>31</v>
      </c>
      <c r="I732" s="3">
        <v>5473</v>
      </c>
      <c r="J732" s="3">
        <v>169663</v>
      </c>
      <c r="K732" s="2">
        <v>5</v>
      </c>
      <c r="L732" s="3">
        <v>161179.85</v>
      </c>
      <c r="M732" s="3">
        <v>105809.32</v>
      </c>
      <c r="N732" s="3">
        <v>55370.53</v>
      </c>
      <c r="O732" s="4">
        <v>34.35</v>
      </c>
      <c r="P732" s="2" t="s">
        <v>50</v>
      </c>
    </row>
    <row r="733" spans="1:16" x14ac:dyDescent="0.3">
      <c r="A733" s="5">
        <v>1846</v>
      </c>
      <c r="B733" s="5" t="s">
        <v>70</v>
      </c>
      <c r="C733" s="5" t="s">
        <v>71</v>
      </c>
      <c r="D733" s="5" t="s">
        <v>18</v>
      </c>
      <c r="E733" s="5" t="s">
        <v>19</v>
      </c>
      <c r="F733" s="5" t="s">
        <v>48</v>
      </c>
      <c r="G733" s="5" t="s">
        <v>69</v>
      </c>
      <c r="H733" s="5">
        <v>61</v>
      </c>
      <c r="I733" s="6">
        <v>1150</v>
      </c>
      <c r="J733" s="6">
        <v>70150</v>
      </c>
      <c r="K733" s="5">
        <v>5</v>
      </c>
      <c r="L733" s="6">
        <v>66642.5</v>
      </c>
      <c r="M733" s="6">
        <v>42705.03</v>
      </c>
      <c r="N733" s="6">
        <v>23937.47</v>
      </c>
      <c r="O733" s="7">
        <v>35.92</v>
      </c>
      <c r="P733" s="5" t="s">
        <v>22</v>
      </c>
    </row>
    <row r="734" spans="1:16" x14ac:dyDescent="0.3">
      <c r="A734" s="2">
        <v>2104</v>
      </c>
      <c r="B734" s="2" t="s">
        <v>46</v>
      </c>
      <c r="C734" s="2" t="s">
        <v>47</v>
      </c>
      <c r="D734" s="2" t="s">
        <v>36</v>
      </c>
      <c r="E734" s="2" t="s">
        <v>26</v>
      </c>
      <c r="F734" s="2" t="s">
        <v>27</v>
      </c>
      <c r="G734" s="2" t="s">
        <v>66</v>
      </c>
      <c r="H734" s="2">
        <v>101</v>
      </c>
      <c r="I734" s="3">
        <v>874</v>
      </c>
      <c r="J734" s="3">
        <v>88274</v>
      </c>
      <c r="K734" s="2">
        <v>5</v>
      </c>
      <c r="L734" s="3">
        <v>83860.3</v>
      </c>
      <c r="M734" s="3">
        <v>55736.42</v>
      </c>
      <c r="N734" s="3">
        <v>28123.88</v>
      </c>
      <c r="O734" s="4">
        <v>33.54</v>
      </c>
      <c r="P734" s="2" t="s">
        <v>61</v>
      </c>
    </row>
    <row r="735" spans="1:16" x14ac:dyDescent="0.3">
      <c r="A735" s="5">
        <v>1440</v>
      </c>
      <c r="B735" s="5" t="s">
        <v>54</v>
      </c>
      <c r="C735" s="5" t="s">
        <v>55</v>
      </c>
      <c r="D735" s="5" t="s">
        <v>56</v>
      </c>
      <c r="E735" s="5" t="s">
        <v>19</v>
      </c>
      <c r="F735" s="5" t="s">
        <v>32</v>
      </c>
      <c r="G735" s="5" t="s">
        <v>65</v>
      </c>
      <c r="H735" s="5">
        <v>66</v>
      </c>
      <c r="I735" s="6">
        <v>4592</v>
      </c>
      <c r="J735" s="6">
        <v>303072</v>
      </c>
      <c r="K735" s="5">
        <v>5</v>
      </c>
      <c r="L735" s="6">
        <v>287918.40000000002</v>
      </c>
      <c r="M735" s="6">
        <v>177562.27</v>
      </c>
      <c r="N735" s="6">
        <v>110356.13</v>
      </c>
      <c r="O735" s="7">
        <v>38.33</v>
      </c>
      <c r="P735" s="5" t="s">
        <v>50</v>
      </c>
    </row>
    <row r="736" spans="1:16" x14ac:dyDescent="0.3">
      <c r="A736" s="2">
        <v>1633</v>
      </c>
      <c r="B736" s="2" t="s">
        <v>16</v>
      </c>
      <c r="C736" s="2" t="s">
        <v>17</v>
      </c>
      <c r="D736" s="2" t="s">
        <v>18</v>
      </c>
      <c r="E736" s="2" t="s">
        <v>19</v>
      </c>
      <c r="F736" s="2" t="s">
        <v>37</v>
      </c>
      <c r="G736" s="2" t="s">
        <v>38</v>
      </c>
      <c r="H736" s="2">
        <v>128</v>
      </c>
      <c r="I736" s="3">
        <v>2076</v>
      </c>
      <c r="J736" s="3">
        <v>265728</v>
      </c>
      <c r="K736" s="2">
        <v>5</v>
      </c>
      <c r="L736" s="3">
        <v>252441.60000000001</v>
      </c>
      <c r="M736" s="3">
        <v>139882.32999999999</v>
      </c>
      <c r="N736" s="3">
        <v>112559.27</v>
      </c>
      <c r="O736" s="4">
        <v>44.59</v>
      </c>
      <c r="P736" s="2" t="s">
        <v>43</v>
      </c>
    </row>
    <row r="737" spans="1:16" x14ac:dyDescent="0.3">
      <c r="A737" s="5">
        <v>1815</v>
      </c>
      <c r="B737" s="5" t="s">
        <v>70</v>
      </c>
      <c r="C737" s="5" t="s">
        <v>71</v>
      </c>
      <c r="D737" s="5" t="s">
        <v>18</v>
      </c>
      <c r="E737" s="5" t="s">
        <v>26</v>
      </c>
      <c r="F737" s="5" t="s">
        <v>32</v>
      </c>
      <c r="G737" s="5" t="s">
        <v>65</v>
      </c>
      <c r="H737" s="5">
        <v>127</v>
      </c>
      <c r="I737" s="6">
        <v>5466</v>
      </c>
      <c r="J737" s="6">
        <v>694182</v>
      </c>
      <c r="K737" s="5">
        <v>20</v>
      </c>
      <c r="L737" s="6">
        <v>555345.6</v>
      </c>
      <c r="M737" s="6">
        <v>369579.76</v>
      </c>
      <c r="N737" s="6">
        <v>185765.84</v>
      </c>
      <c r="O737" s="7">
        <v>33.450000000000003</v>
      </c>
      <c r="P737" s="5" t="s">
        <v>41</v>
      </c>
    </row>
    <row r="738" spans="1:16" x14ac:dyDescent="0.3">
      <c r="A738" s="2">
        <v>1051</v>
      </c>
      <c r="B738" s="2" t="s">
        <v>62</v>
      </c>
      <c r="C738" s="2" t="s">
        <v>63</v>
      </c>
      <c r="D738" s="2" t="s">
        <v>25</v>
      </c>
      <c r="E738" s="2" t="s">
        <v>42</v>
      </c>
      <c r="F738" s="2" t="s">
        <v>27</v>
      </c>
      <c r="G738" s="2" t="s">
        <v>85</v>
      </c>
      <c r="H738" s="2">
        <v>17</v>
      </c>
      <c r="I738" s="3">
        <v>12291</v>
      </c>
      <c r="J738" s="3">
        <v>208947</v>
      </c>
      <c r="K738" s="2">
        <v>0</v>
      </c>
      <c r="L738" s="3">
        <v>208947</v>
      </c>
      <c r="M738" s="3">
        <v>117216.99</v>
      </c>
      <c r="N738" s="3">
        <v>91730.01</v>
      </c>
      <c r="O738" s="4">
        <v>43.9</v>
      </c>
      <c r="P738" s="2" t="s">
        <v>45</v>
      </c>
    </row>
    <row r="739" spans="1:16" x14ac:dyDescent="0.3">
      <c r="A739" s="5">
        <v>1173</v>
      </c>
      <c r="B739" s="5" t="s">
        <v>23</v>
      </c>
      <c r="C739" s="5" t="s">
        <v>24</v>
      </c>
      <c r="D739" s="5" t="s">
        <v>25</v>
      </c>
      <c r="E739" s="5" t="s">
        <v>42</v>
      </c>
      <c r="F739" s="5" t="s">
        <v>48</v>
      </c>
      <c r="G739" s="5" t="s">
        <v>49</v>
      </c>
      <c r="H739" s="5">
        <v>37</v>
      </c>
      <c r="I739" s="6">
        <v>733</v>
      </c>
      <c r="J739" s="6">
        <v>27121</v>
      </c>
      <c r="K739" s="5">
        <v>15</v>
      </c>
      <c r="L739" s="6">
        <v>23052.85</v>
      </c>
      <c r="M739" s="6">
        <v>14821.98</v>
      </c>
      <c r="N739" s="6">
        <v>8230.8700000000008</v>
      </c>
      <c r="O739" s="7">
        <v>35.700000000000003</v>
      </c>
      <c r="P739" s="5" t="s">
        <v>45</v>
      </c>
    </row>
    <row r="740" spans="1:16" x14ac:dyDescent="0.3">
      <c r="A740" s="2">
        <v>1719</v>
      </c>
      <c r="B740" s="2" t="s">
        <v>30</v>
      </c>
      <c r="C740" s="2" t="s">
        <v>31</v>
      </c>
      <c r="D740" s="2" t="s">
        <v>18</v>
      </c>
      <c r="E740" s="2" t="s">
        <v>26</v>
      </c>
      <c r="F740" s="2" t="s">
        <v>20</v>
      </c>
      <c r="G740" s="2" t="s">
        <v>68</v>
      </c>
      <c r="H740" s="2">
        <v>80</v>
      </c>
      <c r="I740" s="3">
        <v>149</v>
      </c>
      <c r="J740" s="3">
        <v>11920</v>
      </c>
      <c r="K740" s="2">
        <v>5</v>
      </c>
      <c r="L740" s="3">
        <v>11324</v>
      </c>
      <c r="M740" s="3">
        <v>7489.26</v>
      </c>
      <c r="N740" s="3">
        <v>3834.74</v>
      </c>
      <c r="O740" s="4">
        <v>33.86</v>
      </c>
      <c r="P740" s="2" t="s">
        <v>22</v>
      </c>
    </row>
    <row r="741" spans="1:16" x14ac:dyDescent="0.3">
      <c r="A741" s="5">
        <v>1269</v>
      </c>
      <c r="B741" s="5" t="s">
        <v>52</v>
      </c>
      <c r="C741" s="5" t="s">
        <v>53</v>
      </c>
      <c r="D741" s="5" t="s">
        <v>25</v>
      </c>
      <c r="E741" s="5" t="s">
        <v>42</v>
      </c>
      <c r="F741" s="5" t="s">
        <v>20</v>
      </c>
      <c r="G741" s="5" t="s">
        <v>68</v>
      </c>
      <c r="H741" s="5">
        <v>97</v>
      </c>
      <c r="I741" s="6">
        <v>161</v>
      </c>
      <c r="J741" s="6">
        <v>15617</v>
      </c>
      <c r="K741" s="5">
        <v>0</v>
      </c>
      <c r="L741" s="6">
        <v>15617</v>
      </c>
      <c r="M741" s="6">
        <v>10255.84</v>
      </c>
      <c r="N741" s="6">
        <v>5361.16</v>
      </c>
      <c r="O741" s="7">
        <v>34.33</v>
      </c>
      <c r="P741" s="5" t="s">
        <v>29</v>
      </c>
    </row>
    <row r="742" spans="1:16" x14ac:dyDescent="0.3">
      <c r="A742" s="2">
        <v>1822</v>
      </c>
      <c r="B742" s="2" t="s">
        <v>70</v>
      </c>
      <c r="C742" s="2" t="s">
        <v>71</v>
      </c>
      <c r="D742" s="2" t="s">
        <v>18</v>
      </c>
      <c r="E742" s="2" t="s">
        <v>26</v>
      </c>
      <c r="F742" s="2" t="s">
        <v>48</v>
      </c>
      <c r="G742" s="2" t="s">
        <v>78</v>
      </c>
      <c r="H742" s="2">
        <v>98</v>
      </c>
      <c r="I742" s="3">
        <v>564</v>
      </c>
      <c r="J742" s="3">
        <v>55272</v>
      </c>
      <c r="K742" s="2">
        <v>5</v>
      </c>
      <c r="L742" s="3">
        <v>52508.4</v>
      </c>
      <c r="M742" s="3">
        <v>35753.57</v>
      </c>
      <c r="N742" s="3">
        <v>16754.830000000002</v>
      </c>
      <c r="O742" s="4">
        <v>31.91</v>
      </c>
      <c r="P742" s="2" t="s">
        <v>45</v>
      </c>
    </row>
    <row r="743" spans="1:16" x14ac:dyDescent="0.3">
      <c r="A743" s="5">
        <v>1474</v>
      </c>
      <c r="B743" s="5" t="s">
        <v>54</v>
      </c>
      <c r="C743" s="5" t="s">
        <v>55</v>
      </c>
      <c r="D743" s="5" t="s">
        <v>56</v>
      </c>
      <c r="E743" s="5" t="s">
        <v>42</v>
      </c>
      <c r="F743" s="5" t="s">
        <v>48</v>
      </c>
      <c r="G743" s="5" t="s">
        <v>51</v>
      </c>
      <c r="H743" s="5">
        <v>74</v>
      </c>
      <c r="I743" s="6">
        <v>1879</v>
      </c>
      <c r="J743" s="6">
        <v>139046</v>
      </c>
      <c r="K743" s="5">
        <v>0</v>
      </c>
      <c r="L743" s="6">
        <v>139046</v>
      </c>
      <c r="M743" s="6">
        <v>81947.179999999993</v>
      </c>
      <c r="N743" s="6">
        <v>57098.82</v>
      </c>
      <c r="O743" s="7">
        <v>41.06</v>
      </c>
      <c r="P743" s="5" t="s">
        <v>39</v>
      </c>
    </row>
    <row r="744" spans="1:16" x14ac:dyDescent="0.3">
      <c r="A744" s="2">
        <v>1092</v>
      </c>
      <c r="B744" s="2" t="s">
        <v>62</v>
      </c>
      <c r="C744" s="2" t="s">
        <v>63</v>
      </c>
      <c r="D744" s="2" t="s">
        <v>25</v>
      </c>
      <c r="E744" s="2" t="s">
        <v>44</v>
      </c>
      <c r="F744" s="2" t="s">
        <v>20</v>
      </c>
      <c r="G744" s="2" t="s">
        <v>80</v>
      </c>
      <c r="H744" s="2">
        <v>108</v>
      </c>
      <c r="I744" s="3">
        <v>73</v>
      </c>
      <c r="J744" s="3">
        <v>7884</v>
      </c>
      <c r="K744" s="2">
        <v>0</v>
      </c>
      <c r="L744" s="3">
        <v>7884</v>
      </c>
      <c r="M744" s="3">
        <v>4609.6899999999996</v>
      </c>
      <c r="N744" s="3">
        <v>3274.31</v>
      </c>
      <c r="O744" s="4">
        <v>41.53</v>
      </c>
      <c r="P744" s="2" t="s">
        <v>61</v>
      </c>
    </row>
    <row r="745" spans="1:16" x14ac:dyDescent="0.3">
      <c r="A745" s="5">
        <v>2176</v>
      </c>
      <c r="B745" s="5" t="s">
        <v>46</v>
      </c>
      <c r="C745" s="5" t="s">
        <v>47</v>
      </c>
      <c r="D745" s="5" t="s">
        <v>36</v>
      </c>
      <c r="E745" s="5" t="s">
        <v>44</v>
      </c>
      <c r="F745" s="5" t="s">
        <v>27</v>
      </c>
      <c r="G745" s="5" t="s">
        <v>85</v>
      </c>
      <c r="H745" s="5">
        <v>122</v>
      </c>
      <c r="I745" s="6">
        <v>12882</v>
      </c>
      <c r="J745" s="6">
        <v>1571604</v>
      </c>
      <c r="K745" s="5">
        <v>10</v>
      </c>
      <c r="L745" s="6">
        <v>1414443.6</v>
      </c>
      <c r="M745" s="6">
        <v>791971.54</v>
      </c>
      <c r="N745" s="6">
        <v>622472.06000000006</v>
      </c>
      <c r="O745" s="7">
        <v>44.01</v>
      </c>
      <c r="P745" s="5" t="s">
        <v>22</v>
      </c>
    </row>
    <row r="746" spans="1:16" x14ac:dyDescent="0.3">
      <c r="A746" s="2">
        <v>2056</v>
      </c>
      <c r="B746" s="2" t="s">
        <v>76</v>
      </c>
      <c r="C746" s="2" t="s">
        <v>77</v>
      </c>
      <c r="D746" s="2" t="s">
        <v>36</v>
      </c>
      <c r="E746" s="2" t="s">
        <v>42</v>
      </c>
      <c r="F746" s="2" t="s">
        <v>37</v>
      </c>
      <c r="G746" s="2" t="s">
        <v>59</v>
      </c>
      <c r="H746" s="2">
        <v>41</v>
      </c>
      <c r="I746" s="3">
        <v>497</v>
      </c>
      <c r="J746" s="3">
        <v>20377</v>
      </c>
      <c r="K746" s="2">
        <v>0</v>
      </c>
      <c r="L746" s="3">
        <v>20377</v>
      </c>
      <c r="M746" s="3">
        <v>12958.33</v>
      </c>
      <c r="N746" s="3">
        <v>7418.67</v>
      </c>
      <c r="O746" s="4">
        <v>36.409999999999997</v>
      </c>
      <c r="P746" s="2" t="s">
        <v>50</v>
      </c>
    </row>
    <row r="747" spans="1:16" x14ac:dyDescent="0.3">
      <c r="A747" s="5">
        <v>1627</v>
      </c>
      <c r="B747" s="5" t="s">
        <v>16</v>
      </c>
      <c r="C747" s="5" t="s">
        <v>17</v>
      </c>
      <c r="D747" s="5" t="s">
        <v>18</v>
      </c>
      <c r="E747" s="5" t="s">
        <v>19</v>
      </c>
      <c r="F747" s="5" t="s">
        <v>27</v>
      </c>
      <c r="G747" s="5" t="s">
        <v>28</v>
      </c>
      <c r="H747" s="5">
        <v>138</v>
      </c>
      <c r="I747" s="6">
        <v>8024</v>
      </c>
      <c r="J747" s="6">
        <v>1107312</v>
      </c>
      <c r="K747" s="5">
        <v>0</v>
      </c>
      <c r="L747" s="6">
        <v>1107312</v>
      </c>
      <c r="M747" s="6">
        <v>619920.37</v>
      </c>
      <c r="N747" s="6">
        <v>487391.63</v>
      </c>
      <c r="O747" s="7">
        <v>44.02</v>
      </c>
      <c r="P747" s="5" t="s">
        <v>22</v>
      </c>
    </row>
    <row r="748" spans="1:16" x14ac:dyDescent="0.3">
      <c r="A748" s="2">
        <v>2008</v>
      </c>
      <c r="B748" s="2" t="s">
        <v>76</v>
      </c>
      <c r="C748" s="2" t="s">
        <v>77</v>
      </c>
      <c r="D748" s="2" t="s">
        <v>36</v>
      </c>
      <c r="E748" s="2" t="s">
        <v>26</v>
      </c>
      <c r="F748" s="2" t="s">
        <v>37</v>
      </c>
      <c r="G748" s="2" t="s">
        <v>38</v>
      </c>
      <c r="H748" s="2">
        <v>186</v>
      </c>
      <c r="I748" s="3">
        <v>1857</v>
      </c>
      <c r="J748" s="3">
        <v>345402</v>
      </c>
      <c r="K748" s="2">
        <v>0</v>
      </c>
      <c r="L748" s="3">
        <v>345402</v>
      </c>
      <c r="M748" s="3">
        <v>232566.34</v>
      </c>
      <c r="N748" s="3">
        <v>112835.66</v>
      </c>
      <c r="O748" s="4">
        <v>32.67</v>
      </c>
      <c r="P748" s="2" t="s">
        <v>61</v>
      </c>
    </row>
    <row r="749" spans="1:16" x14ac:dyDescent="0.3">
      <c r="A749" s="5">
        <v>1198</v>
      </c>
      <c r="B749" s="5" t="s">
        <v>23</v>
      </c>
      <c r="C749" s="5" t="s">
        <v>24</v>
      </c>
      <c r="D749" s="5" t="s">
        <v>25</v>
      </c>
      <c r="E749" s="5" t="s">
        <v>44</v>
      </c>
      <c r="F749" s="5" t="s">
        <v>48</v>
      </c>
      <c r="G749" s="5" t="s">
        <v>49</v>
      </c>
      <c r="H749" s="5">
        <v>111</v>
      </c>
      <c r="I749" s="6">
        <v>736</v>
      </c>
      <c r="J749" s="6">
        <v>81696</v>
      </c>
      <c r="K749" s="5">
        <v>10</v>
      </c>
      <c r="L749" s="6">
        <v>73526.399999999994</v>
      </c>
      <c r="M749" s="6">
        <v>46444.41</v>
      </c>
      <c r="N749" s="6">
        <v>27081.99</v>
      </c>
      <c r="O749" s="7">
        <v>36.83</v>
      </c>
      <c r="P749" s="5" t="s">
        <v>41</v>
      </c>
    </row>
    <row r="750" spans="1:16" x14ac:dyDescent="0.3">
      <c r="A750" s="2">
        <v>1024</v>
      </c>
      <c r="B750" s="2" t="s">
        <v>62</v>
      </c>
      <c r="C750" s="2" t="s">
        <v>63</v>
      </c>
      <c r="D750" s="2" t="s">
        <v>25</v>
      </c>
      <c r="E750" s="2" t="s">
        <v>26</v>
      </c>
      <c r="F750" s="2" t="s">
        <v>48</v>
      </c>
      <c r="G750" s="2" t="s">
        <v>51</v>
      </c>
      <c r="H750" s="2">
        <v>128</v>
      </c>
      <c r="I750" s="3">
        <v>2105</v>
      </c>
      <c r="J750" s="3">
        <v>269440</v>
      </c>
      <c r="K750" s="2">
        <v>0</v>
      </c>
      <c r="L750" s="3">
        <v>269440</v>
      </c>
      <c r="M750" s="3">
        <v>183374.88</v>
      </c>
      <c r="N750" s="3">
        <v>86065.12</v>
      </c>
      <c r="O750" s="4">
        <v>31.94</v>
      </c>
      <c r="P750" s="2" t="s">
        <v>50</v>
      </c>
    </row>
    <row r="751" spans="1:16" x14ac:dyDescent="0.3">
      <c r="A751" s="5">
        <v>1896</v>
      </c>
      <c r="B751" s="5" t="s">
        <v>70</v>
      </c>
      <c r="C751" s="5" t="s">
        <v>71</v>
      </c>
      <c r="D751" s="5" t="s">
        <v>18</v>
      </c>
      <c r="E751" s="5" t="s">
        <v>44</v>
      </c>
      <c r="F751" s="5" t="s">
        <v>48</v>
      </c>
      <c r="G751" s="5" t="s">
        <v>69</v>
      </c>
      <c r="H751" s="5">
        <v>45</v>
      </c>
      <c r="I751" s="6">
        <v>1088</v>
      </c>
      <c r="J751" s="6">
        <v>48960</v>
      </c>
      <c r="K751" s="5">
        <v>0</v>
      </c>
      <c r="L751" s="6">
        <v>48960</v>
      </c>
      <c r="M751" s="6">
        <v>30492.560000000001</v>
      </c>
      <c r="N751" s="6">
        <v>18467.439999999999</v>
      </c>
      <c r="O751" s="7">
        <v>37.72</v>
      </c>
      <c r="P751" s="5" t="s">
        <v>29</v>
      </c>
    </row>
    <row r="752" spans="1:16" x14ac:dyDescent="0.3">
      <c r="A752" s="2">
        <v>1230</v>
      </c>
      <c r="B752" s="2" t="s">
        <v>52</v>
      </c>
      <c r="C752" s="2" t="s">
        <v>53</v>
      </c>
      <c r="D752" s="2" t="s">
        <v>25</v>
      </c>
      <c r="E752" s="2" t="s">
        <v>19</v>
      </c>
      <c r="F752" s="2" t="s">
        <v>27</v>
      </c>
      <c r="G752" s="2" t="s">
        <v>84</v>
      </c>
      <c r="H752" s="2">
        <v>101</v>
      </c>
      <c r="I752" s="3">
        <v>13841</v>
      </c>
      <c r="J752" s="3">
        <v>1397941</v>
      </c>
      <c r="K752" s="2">
        <v>15</v>
      </c>
      <c r="L752" s="3">
        <v>1188249.8500000001</v>
      </c>
      <c r="M752" s="3">
        <v>673302.13</v>
      </c>
      <c r="N752" s="3">
        <v>514947.72</v>
      </c>
      <c r="O752" s="4">
        <v>43.34</v>
      </c>
      <c r="P752" s="2" t="s">
        <v>39</v>
      </c>
    </row>
    <row r="753" spans="1:16" x14ac:dyDescent="0.3">
      <c r="A753" s="5">
        <v>1960</v>
      </c>
      <c r="B753" s="5" t="s">
        <v>34</v>
      </c>
      <c r="C753" s="5" t="s">
        <v>35</v>
      </c>
      <c r="D753" s="5" t="s">
        <v>36</v>
      </c>
      <c r="E753" s="5" t="s">
        <v>42</v>
      </c>
      <c r="F753" s="5" t="s">
        <v>37</v>
      </c>
      <c r="G753" s="5" t="s">
        <v>67</v>
      </c>
      <c r="H753" s="5">
        <v>149</v>
      </c>
      <c r="I753" s="6">
        <v>1644</v>
      </c>
      <c r="J753" s="6">
        <v>244956</v>
      </c>
      <c r="K753" s="5">
        <v>20</v>
      </c>
      <c r="L753" s="6">
        <v>195964.79999999999</v>
      </c>
      <c r="M753" s="6">
        <v>133269.65</v>
      </c>
      <c r="N753" s="6">
        <v>62695.15</v>
      </c>
      <c r="O753" s="7">
        <v>31.99</v>
      </c>
      <c r="P753" s="5" t="s">
        <v>39</v>
      </c>
    </row>
    <row r="754" spans="1:16" x14ac:dyDescent="0.3">
      <c r="A754" s="2">
        <v>1387</v>
      </c>
      <c r="B754" s="2" t="s">
        <v>57</v>
      </c>
      <c r="C754" s="2" t="s">
        <v>58</v>
      </c>
      <c r="D754" s="2" t="s">
        <v>56</v>
      </c>
      <c r="E754" s="2" t="s">
        <v>44</v>
      </c>
      <c r="F754" s="2" t="s">
        <v>32</v>
      </c>
      <c r="G754" s="2" t="s">
        <v>75</v>
      </c>
      <c r="H754" s="2">
        <v>119</v>
      </c>
      <c r="I754" s="3">
        <v>13148</v>
      </c>
      <c r="J754" s="3">
        <v>1564612</v>
      </c>
      <c r="K754" s="2">
        <v>15</v>
      </c>
      <c r="L754" s="3">
        <v>1329920.2</v>
      </c>
      <c r="M754" s="3">
        <v>806156.58</v>
      </c>
      <c r="N754" s="3">
        <v>523763.62</v>
      </c>
      <c r="O754" s="4">
        <v>39.380000000000003</v>
      </c>
      <c r="P754" s="2" t="s">
        <v>22</v>
      </c>
    </row>
    <row r="755" spans="1:16" x14ac:dyDescent="0.3">
      <c r="A755" s="5">
        <v>1868</v>
      </c>
      <c r="B755" s="5" t="s">
        <v>70</v>
      </c>
      <c r="C755" s="5" t="s">
        <v>71</v>
      </c>
      <c r="D755" s="5" t="s">
        <v>18</v>
      </c>
      <c r="E755" s="5" t="s">
        <v>42</v>
      </c>
      <c r="F755" s="5" t="s">
        <v>20</v>
      </c>
      <c r="G755" s="5" t="s">
        <v>21</v>
      </c>
      <c r="H755" s="5">
        <v>48</v>
      </c>
      <c r="I755" s="6">
        <v>108</v>
      </c>
      <c r="J755" s="6">
        <v>5184</v>
      </c>
      <c r="K755" s="5">
        <v>0</v>
      </c>
      <c r="L755" s="6">
        <v>5184</v>
      </c>
      <c r="M755" s="6">
        <v>3605.25</v>
      </c>
      <c r="N755" s="6">
        <v>1578.75</v>
      </c>
      <c r="O755" s="7">
        <v>30.45</v>
      </c>
      <c r="P755" s="5" t="s">
        <v>43</v>
      </c>
    </row>
    <row r="756" spans="1:16" x14ac:dyDescent="0.3">
      <c r="A756" s="2">
        <v>1187</v>
      </c>
      <c r="B756" s="2" t="s">
        <v>23</v>
      </c>
      <c r="C756" s="2" t="s">
        <v>24</v>
      </c>
      <c r="D756" s="2" t="s">
        <v>25</v>
      </c>
      <c r="E756" s="2" t="s">
        <v>44</v>
      </c>
      <c r="F756" s="2" t="s">
        <v>32</v>
      </c>
      <c r="G756" s="2" t="s">
        <v>75</v>
      </c>
      <c r="H756" s="2">
        <v>123</v>
      </c>
      <c r="I756" s="3">
        <v>11138</v>
      </c>
      <c r="J756" s="3">
        <v>1369974</v>
      </c>
      <c r="K756" s="2">
        <v>5</v>
      </c>
      <c r="L756" s="3">
        <v>1301475.3</v>
      </c>
      <c r="M756" s="3">
        <v>883729.18</v>
      </c>
      <c r="N756" s="3">
        <v>417746.12</v>
      </c>
      <c r="O756" s="4">
        <v>32.1</v>
      </c>
      <c r="P756" s="2" t="s">
        <v>22</v>
      </c>
    </row>
    <row r="757" spans="1:16" x14ac:dyDescent="0.3">
      <c r="A757" s="5">
        <v>1899</v>
      </c>
      <c r="B757" s="5" t="s">
        <v>70</v>
      </c>
      <c r="C757" s="5" t="s">
        <v>71</v>
      </c>
      <c r="D757" s="5" t="s">
        <v>18</v>
      </c>
      <c r="E757" s="5" t="s">
        <v>44</v>
      </c>
      <c r="F757" s="5" t="s">
        <v>48</v>
      </c>
      <c r="G757" s="5" t="s">
        <v>51</v>
      </c>
      <c r="H757" s="5">
        <v>110</v>
      </c>
      <c r="I757" s="6">
        <v>2171</v>
      </c>
      <c r="J757" s="6">
        <v>238810</v>
      </c>
      <c r="K757" s="5">
        <v>0</v>
      </c>
      <c r="L757" s="6">
        <v>238810</v>
      </c>
      <c r="M757" s="6">
        <v>148112.07999999999</v>
      </c>
      <c r="N757" s="6">
        <v>90697.919999999998</v>
      </c>
      <c r="O757" s="7">
        <v>37.979999999999997</v>
      </c>
      <c r="P757" s="5" t="s">
        <v>43</v>
      </c>
    </row>
    <row r="758" spans="1:16" x14ac:dyDescent="0.3">
      <c r="A758" s="2">
        <v>1425</v>
      </c>
      <c r="B758" s="2" t="s">
        <v>54</v>
      </c>
      <c r="C758" s="2" t="s">
        <v>55</v>
      </c>
      <c r="D758" s="2" t="s">
        <v>56</v>
      </c>
      <c r="E758" s="2" t="s">
        <v>26</v>
      </c>
      <c r="F758" s="2" t="s">
        <v>48</v>
      </c>
      <c r="G758" s="2" t="s">
        <v>72</v>
      </c>
      <c r="H758" s="2">
        <v>92</v>
      </c>
      <c r="I758" s="3">
        <v>3320</v>
      </c>
      <c r="J758" s="3">
        <v>305440</v>
      </c>
      <c r="K758" s="2">
        <v>5</v>
      </c>
      <c r="L758" s="3">
        <v>290168</v>
      </c>
      <c r="M758" s="3">
        <v>172648.86</v>
      </c>
      <c r="N758" s="3">
        <v>117519.14</v>
      </c>
      <c r="O758" s="4">
        <v>40.5</v>
      </c>
      <c r="P758" s="2" t="s">
        <v>29</v>
      </c>
    </row>
    <row r="759" spans="1:16" x14ac:dyDescent="0.3">
      <c r="A759" s="5">
        <v>1087</v>
      </c>
      <c r="B759" s="5" t="s">
        <v>62</v>
      </c>
      <c r="C759" s="5" t="s">
        <v>63</v>
      </c>
      <c r="D759" s="5" t="s">
        <v>25</v>
      </c>
      <c r="E759" s="5" t="s">
        <v>44</v>
      </c>
      <c r="F759" s="5" t="s">
        <v>32</v>
      </c>
      <c r="G759" s="5" t="s">
        <v>75</v>
      </c>
      <c r="H759" s="5">
        <v>111</v>
      </c>
      <c r="I759" s="6">
        <v>11091</v>
      </c>
      <c r="J759" s="6">
        <v>1231101</v>
      </c>
      <c r="K759" s="5">
        <v>0</v>
      </c>
      <c r="L759" s="6">
        <v>1231101</v>
      </c>
      <c r="M759" s="6">
        <v>825099.27</v>
      </c>
      <c r="N759" s="6">
        <v>406001.73</v>
      </c>
      <c r="O759" s="7">
        <v>32.979999999999997</v>
      </c>
      <c r="P759" s="5" t="s">
        <v>41</v>
      </c>
    </row>
    <row r="760" spans="1:16" x14ac:dyDescent="0.3">
      <c r="A760" s="2">
        <v>2197</v>
      </c>
      <c r="B760" s="2" t="s">
        <v>46</v>
      </c>
      <c r="C760" s="2" t="s">
        <v>47</v>
      </c>
      <c r="D760" s="2" t="s">
        <v>36</v>
      </c>
      <c r="E760" s="2" t="s">
        <v>44</v>
      </c>
      <c r="F760" s="2" t="s">
        <v>48</v>
      </c>
      <c r="G760" s="2" t="s">
        <v>78</v>
      </c>
      <c r="H760" s="2">
        <v>35</v>
      </c>
      <c r="I760" s="3">
        <v>638</v>
      </c>
      <c r="J760" s="3">
        <v>22330</v>
      </c>
      <c r="K760" s="2">
        <v>5</v>
      </c>
      <c r="L760" s="3">
        <v>21213.5</v>
      </c>
      <c r="M760" s="3">
        <v>12077</v>
      </c>
      <c r="N760" s="3">
        <v>9136.5</v>
      </c>
      <c r="O760" s="4">
        <v>43.07</v>
      </c>
      <c r="P760" s="2" t="s">
        <v>61</v>
      </c>
    </row>
    <row r="761" spans="1:16" x14ac:dyDescent="0.3">
      <c r="A761" s="5">
        <v>1289</v>
      </c>
      <c r="B761" s="5" t="s">
        <v>52</v>
      </c>
      <c r="C761" s="5" t="s">
        <v>53</v>
      </c>
      <c r="D761" s="5" t="s">
        <v>25</v>
      </c>
      <c r="E761" s="5" t="s">
        <v>44</v>
      </c>
      <c r="F761" s="5" t="s">
        <v>32</v>
      </c>
      <c r="G761" s="5" t="s">
        <v>33</v>
      </c>
      <c r="H761" s="5">
        <v>110</v>
      </c>
      <c r="I761" s="6">
        <v>10772</v>
      </c>
      <c r="J761" s="6">
        <v>1184920</v>
      </c>
      <c r="K761" s="5">
        <v>10</v>
      </c>
      <c r="L761" s="6">
        <v>1066428</v>
      </c>
      <c r="M761" s="6">
        <v>735841.34</v>
      </c>
      <c r="N761" s="6">
        <v>330586.65999999997</v>
      </c>
      <c r="O761" s="7">
        <v>31</v>
      </c>
      <c r="P761" s="5" t="s">
        <v>22</v>
      </c>
    </row>
    <row r="762" spans="1:16" x14ac:dyDescent="0.3">
      <c r="A762" s="2">
        <v>1336</v>
      </c>
      <c r="B762" s="2" t="s">
        <v>57</v>
      </c>
      <c r="C762" s="2" t="s">
        <v>58</v>
      </c>
      <c r="D762" s="2" t="s">
        <v>56</v>
      </c>
      <c r="E762" s="2" t="s">
        <v>19</v>
      </c>
      <c r="F762" s="2" t="s">
        <v>32</v>
      </c>
      <c r="G762" s="2" t="s">
        <v>40</v>
      </c>
      <c r="H762" s="2">
        <v>113</v>
      </c>
      <c r="I762" s="3">
        <v>17207</v>
      </c>
      <c r="J762" s="3">
        <v>1944391</v>
      </c>
      <c r="K762" s="2">
        <v>0</v>
      </c>
      <c r="L762" s="3">
        <v>1944391</v>
      </c>
      <c r="M762" s="3">
        <v>1106940.8400000001</v>
      </c>
      <c r="N762" s="3">
        <v>837450.16</v>
      </c>
      <c r="O762" s="4">
        <v>43.07</v>
      </c>
      <c r="P762" s="2" t="s">
        <v>29</v>
      </c>
    </row>
    <row r="763" spans="1:16" x14ac:dyDescent="0.3">
      <c r="A763" s="5">
        <v>1608</v>
      </c>
      <c r="B763" s="5" t="s">
        <v>16</v>
      </c>
      <c r="C763" s="5" t="s">
        <v>17</v>
      </c>
      <c r="D763" s="5" t="s">
        <v>18</v>
      </c>
      <c r="E763" s="5" t="s">
        <v>26</v>
      </c>
      <c r="F763" s="5" t="s">
        <v>37</v>
      </c>
      <c r="G763" s="5" t="s">
        <v>38</v>
      </c>
      <c r="H763" s="5">
        <v>62</v>
      </c>
      <c r="I763" s="6">
        <v>1907</v>
      </c>
      <c r="J763" s="6">
        <v>118234</v>
      </c>
      <c r="K763" s="5">
        <v>0</v>
      </c>
      <c r="L763" s="6">
        <v>118234</v>
      </c>
      <c r="M763" s="6">
        <v>67709.02</v>
      </c>
      <c r="N763" s="6">
        <v>50524.98</v>
      </c>
      <c r="O763" s="7">
        <v>42.73</v>
      </c>
      <c r="P763" s="5" t="s">
        <v>29</v>
      </c>
    </row>
    <row r="764" spans="1:16" x14ac:dyDescent="0.3">
      <c r="A764" s="2">
        <v>2175</v>
      </c>
      <c r="B764" s="2" t="s">
        <v>46</v>
      </c>
      <c r="C764" s="2" t="s">
        <v>47</v>
      </c>
      <c r="D764" s="2" t="s">
        <v>36</v>
      </c>
      <c r="E764" s="2" t="s">
        <v>42</v>
      </c>
      <c r="F764" s="2" t="s">
        <v>48</v>
      </c>
      <c r="G764" s="2" t="s">
        <v>72</v>
      </c>
      <c r="H764" s="2">
        <v>60</v>
      </c>
      <c r="I764" s="3">
        <v>3561</v>
      </c>
      <c r="J764" s="3">
        <v>213660</v>
      </c>
      <c r="K764" s="2">
        <v>0</v>
      </c>
      <c r="L764" s="3">
        <v>213660</v>
      </c>
      <c r="M764" s="3">
        <v>122116.5</v>
      </c>
      <c r="N764" s="3">
        <v>91543.5</v>
      </c>
      <c r="O764" s="4">
        <v>42.85</v>
      </c>
      <c r="P764" s="2" t="s">
        <v>50</v>
      </c>
    </row>
    <row r="765" spans="1:16" x14ac:dyDescent="0.3">
      <c r="A765" s="5">
        <v>1178</v>
      </c>
      <c r="B765" s="5" t="s">
        <v>23</v>
      </c>
      <c r="C765" s="5" t="s">
        <v>24</v>
      </c>
      <c r="D765" s="5" t="s">
        <v>25</v>
      </c>
      <c r="E765" s="5" t="s">
        <v>44</v>
      </c>
      <c r="F765" s="5" t="s">
        <v>27</v>
      </c>
      <c r="G765" s="5" t="s">
        <v>83</v>
      </c>
      <c r="H765" s="5">
        <v>111</v>
      </c>
      <c r="I765" s="6">
        <v>4607</v>
      </c>
      <c r="J765" s="6">
        <v>511377</v>
      </c>
      <c r="K765" s="5">
        <v>15</v>
      </c>
      <c r="L765" s="6">
        <v>434670.45</v>
      </c>
      <c r="M765" s="6">
        <v>276358.43</v>
      </c>
      <c r="N765" s="6">
        <v>158312.01999999999</v>
      </c>
      <c r="O765" s="7">
        <v>36.42</v>
      </c>
      <c r="P765" s="5" t="s">
        <v>50</v>
      </c>
    </row>
    <row r="766" spans="1:16" x14ac:dyDescent="0.3">
      <c r="A766" s="2">
        <v>1267</v>
      </c>
      <c r="B766" s="2" t="s">
        <v>52</v>
      </c>
      <c r="C766" s="2" t="s">
        <v>53</v>
      </c>
      <c r="D766" s="2" t="s">
        <v>25</v>
      </c>
      <c r="E766" s="2" t="s">
        <v>42</v>
      </c>
      <c r="F766" s="2" t="s">
        <v>20</v>
      </c>
      <c r="G766" s="2" t="s">
        <v>80</v>
      </c>
      <c r="H766" s="2">
        <v>75</v>
      </c>
      <c r="I766" s="3">
        <v>77</v>
      </c>
      <c r="J766" s="3">
        <v>5775</v>
      </c>
      <c r="K766" s="2">
        <v>15</v>
      </c>
      <c r="L766" s="3">
        <v>4908.75</v>
      </c>
      <c r="M766" s="3">
        <v>3070.11</v>
      </c>
      <c r="N766" s="3">
        <v>1838.64</v>
      </c>
      <c r="O766" s="4">
        <v>37.46</v>
      </c>
      <c r="P766" s="2" t="s">
        <v>22</v>
      </c>
    </row>
    <row r="767" spans="1:16" x14ac:dyDescent="0.3">
      <c r="A767" s="5">
        <v>1137</v>
      </c>
      <c r="B767" s="5" t="s">
        <v>23</v>
      </c>
      <c r="C767" s="5" t="s">
        <v>24</v>
      </c>
      <c r="D767" s="5" t="s">
        <v>25</v>
      </c>
      <c r="E767" s="5" t="s">
        <v>19</v>
      </c>
      <c r="F767" s="5" t="s">
        <v>32</v>
      </c>
      <c r="G767" s="5" t="s">
        <v>75</v>
      </c>
      <c r="H767" s="5">
        <v>46</v>
      </c>
      <c r="I767" s="6">
        <v>11356</v>
      </c>
      <c r="J767" s="6">
        <v>522376</v>
      </c>
      <c r="K767" s="5">
        <v>5</v>
      </c>
      <c r="L767" s="6">
        <v>496257.2</v>
      </c>
      <c r="M767" s="6">
        <v>325270.86</v>
      </c>
      <c r="N767" s="6">
        <v>170986.34</v>
      </c>
      <c r="O767" s="7">
        <v>34.46</v>
      </c>
      <c r="P767" s="5" t="s">
        <v>39</v>
      </c>
    </row>
    <row r="768" spans="1:16" x14ac:dyDescent="0.3">
      <c r="A768" s="2">
        <v>1959</v>
      </c>
      <c r="B768" s="2" t="s">
        <v>34</v>
      </c>
      <c r="C768" s="2" t="s">
        <v>35</v>
      </c>
      <c r="D768" s="2" t="s">
        <v>36</v>
      </c>
      <c r="E768" s="2" t="s">
        <v>42</v>
      </c>
      <c r="F768" s="2" t="s">
        <v>37</v>
      </c>
      <c r="G768" s="2" t="s">
        <v>82</v>
      </c>
      <c r="H768" s="2">
        <v>176</v>
      </c>
      <c r="I768" s="3">
        <v>1635</v>
      </c>
      <c r="J768" s="3">
        <v>287760</v>
      </c>
      <c r="K768" s="2">
        <v>5</v>
      </c>
      <c r="L768" s="3">
        <v>273372</v>
      </c>
      <c r="M768" s="3">
        <v>180795.94</v>
      </c>
      <c r="N768" s="3">
        <v>92576.06</v>
      </c>
      <c r="O768" s="4">
        <v>33.86</v>
      </c>
      <c r="P768" s="2" t="s">
        <v>45</v>
      </c>
    </row>
    <row r="769" spans="1:16" x14ac:dyDescent="0.3">
      <c r="A769" s="5">
        <v>1490</v>
      </c>
      <c r="B769" s="5" t="s">
        <v>54</v>
      </c>
      <c r="C769" s="5" t="s">
        <v>55</v>
      </c>
      <c r="D769" s="5" t="s">
        <v>56</v>
      </c>
      <c r="E769" s="5" t="s">
        <v>44</v>
      </c>
      <c r="F769" s="5" t="s">
        <v>32</v>
      </c>
      <c r="G769" s="5" t="s">
        <v>65</v>
      </c>
      <c r="H769" s="5">
        <v>126</v>
      </c>
      <c r="I769" s="6">
        <v>4737</v>
      </c>
      <c r="J769" s="6">
        <v>596862</v>
      </c>
      <c r="K769" s="5">
        <v>10</v>
      </c>
      <c r="L769" s="6">
        <v>537175.80000000005</v>
      </c>
      <c r="M769" s="6">
        <v>364826.87</v>
      </c>
      <c r="N769" s="6">
        <v>172348.93</v>
      </c>
      <c r="O769" s="7">
        <v>32.08</v>
      </c>
      <c r="P769" s="5" t="s">
        <v>22</v>
      </c>
    </row>
    <row r="770" spans="1:16" x14ac:dyDescent="0.3">
      <c r="A770" s="5">
        <v>1328</v>
      </c>
      <c r="B770" s="5" t="s">
        <v>57</v>
      </c>
      <c r="C770" s="5" t="s">
        <v>58</v>
      </c>
      <c r="D770" s="5" t="s">
        <v>56</v>
      </c>
      <c r="E770" s="5" t="s">
        <v>19</v>
      </c>
      <c r="F770" s="5" t="s">
        <v>27</v>
      </c>
      <c r="G770" s="5" t="s">
        <v>83</v>
      </c>
      <c r="H770" s="5">
        <v>30</v>
      </c>
      <c r="I770" s="6">
        <v>4790</v>
      </c>
      <c r="J770" s="6">
        <v>143700</v>
      </c>
      <c r="K770" s="5">
        <v>15</v>
      </c>
      <c r="L770" s="6">
        <v>122145</v>
      </c>
      <c r="M770" s="6">
        <v>83012.740000000005</v>
      </c>
      <c r="N770" s="6">
        <v>39132.26</v>
      </c>
      <c r="O770" s="7">
        <v>32.04</v>
      </c>
      <c r="P770" s="5" t="s">
        <v>22</v>
      </c>
    </row>
    <row r="771" spans="1:16" x14ac:dyDescent="0.3">
      <c r="A771" s="2">
        <v>1421</v>
      </c>
      <c r="B771" s="2" t="s">
        <v>54</v>
      </c>
      <c r="C771" s="2" t="s">
        <v>55</v>
      </c>
      <c r="D771" s="2" t="s">
        <v>56</v>
      </c>
      <c r="E771" s="2" t="s">
        <v>26</v>
      </c>
      <c r="F771" s="2" t="s">
        <v>48</v>
      </c>
      <c r="G771" s="2" t="s">
        <v>69</v>
      </c>
      <c r="H771" s="2">
        <v>122</v>
      </c>
      <c r="I771" s="3">
        <v>1084</v>
      </c>
      <c r="J771" s="3">
        <v>132248</v>
      </c>
      <c r="K771" s="2">
        <v>15</v>
      </c>
      <c r="L771" s="3">
        <v>112410.8</v>
      </c>
      <c r="M771" s="3">
        <v>62025.77</v>
      </c>
      <c r="N771" s="3">
        <v>50385.03</v>
      </c>
      <c r="O771" s="4">
        <v>44.82</v>
      </c>
      <c r="P771" s="2" t="s">
        <v>50</v>
      </c>
    </row>
    <row r="772" spans="1:16" x14ac:dyDescent="0.3">
      <c r="A772" s="5">
        <v>1703</v>
      </c>
      <c r="B772" s="5" t="s">
        <v>30</v>
      </c>
      <c r="C772" s="5" t="s">
        <v>31</v>
      </c>
      <c r="D772" s="5" t="s">
        <v>18</v>
      </c>
      <c r="E772" s="5" t="s">
        <v>26</v>
      </c>
      <c r="F772" s="5" t="s">
        <v>27</v>
      </c>
      <c r="G772" s="5" t="s">
        <v>83</v>
      </c>
      <c r="H772" s="5">
        <v>58</v>
      </c>
      <c r="I772" s="6">
        <v>5325</v>
      </c>
      <c r="J772" s="6">
        <v>308850</v>
      </c>
      <c r="K772" s="5">
        <v>5</v>
      </c>
      <c r="L772" s="6">
        <v>293407.5</v>
      </c>
      <c r="M772" s="6">
        <v>192920.77</v>
      </c>
      <c r="N772" s="6">
        <v>100486.73</v>
      </c>
      <c r="O772" s="7">
        <v>34.25</v>
      </c>
      <c r="P772" s="5" t="s">
        <v>29</v>
      </c>
    </row>
    <row r="773" spans="1:16" x14ac:dyDescent="0.3">
      <c r="A773" s="2">
        <v>2073</v>
      </c>
      <c r="B773" s="2" t="s">
        <v>76</v>
      </c>
      <c r="C773" s="2" t="s">
        <v>77</v>
      </c>
      <c r="D773" s="2" t="s">
        <v>36</v>
      </c>
      <c r="E773" s="2" t="s">
        <v>42</v>
      </c>
      <c r="F773" s="2" t="s">
        <v>48</v>
      </c>
      <c r="G773" s="2" t="s">
        <v>49</v>
      </c>
      <c r="H773" s="2">
        <v>107</v>
      </c>
      <c r="I773" s="3">
        <v>804</v>
      </c>
      <c r="J773" s="3">
        <v>86028</v>
      </c>
      <c r="K773" s="2">
        <v>20</v>
      </c>
      <c r="L773" s="3">
        <v>68822.399999999994</v>
      </c>
      <c r="M773" s="3">
        <v>41481.15</v>
      </c>
      <c r="N773" s="3">
        <v>27341.25</v>
      </c>
      <c r="O773" s="4">
        <v>39.729999999999997</v>
      </c>
      <c r="P773" s="2" t="s">
        <v>50</v>
      </c>
    </row>
    <row r="774" spans="1:16" x14ac:dyDescent="0.3">
      <c r="A774" s="5">
        <v>1134</v>
      </c>
      <c r="B774" s="5" t="s">
        <v>23</v>
      </c>
      <c r="C774" s="5" t="s">
        <v>24</v>
      </c>
      <c r="D774" s="5" t="s">
        <v>25</v>
      </c>
      <c r="E774" s="5" t="s">
        <v>19</v>
      </c>
      <c r="F774" s="5" t="s">
        <v>37</v>
      </c>
      <c r="G774" s="5" t="s">
        <v>82</v>
      </c>
      <c r="H774" s="5">
        <v>48</v>
      </c>
      <c r="I774" s="6">
        <v>1536</v>
      </c>
      <c r="J774" s="6">
        <v>73728</v>
      </c>
      <c r="K774" s="5">
        <v>0</v>
      </c>
      <c r="L774" s="6">
        <v>73728</v>
      </c>
      <c r="M774" s="6">
        <v>51029.99</v>
      </c>
      <c r="N774" s="6">
        <v>22698.01</v>
      </c>
      <c r="O774" s="7">
        <v>30.79</v>
      </c>
      <c r="P774" s="5" t="s">
        <v>45</v>
      </c>
    </row>
    <row r="775" spans="1:16" x14ac:dyDescent="0.3">
      <c r="A775" s="2">
        <v>1782</v>
      </c>
      <c r="B775" s="2" t="s">
        <v>30</v>
      </c>
      <c r="C775" s="2" t="s">
        <v>31</v>
      </c>
      <c r="D775" s="2" t="s">
        <v>18</v>
      </c>
      <c r="E775" s="2" t="s">
        <v>44</v>
      </c>
      <c r="F775" s="2" t="s">
        <v>37</v>
      </c>
      <c r="G775" s="2" t="s">
        <v>79</v>
      </c>
      <c r="H775" s="2">
        <v>95</v>
      </c>
      <c r="I775" s="3">
        <v>1177</v>
      </c>
      <c r="J775" s="3">
        <v>111815</v>
      </c>
      <c r="K775" s="2">
        <v>0</v>
      </c>
      <c r="L775" s="3">
        <v>111815</v>
      </c>
      <c r="M775" s="3">
        <v>76232.820000000007</v>
      </c>
      <c r="N775" s="3">
        <v>35582.18</v>
      </c>
      <c r="O775" s="4">
        <v>31.82</v>
      </c>
      <c r="P775" s="2" t="s">
        <v>50</v>
      </c>
    </row>
    <row r="776" spans="1:16" x14ac:dyDescent="0.3">
      <c r="A776" s="5">
        <v>1665</v>
      </c>
      <c r="B776" s="5" t="s">
        <v>16</v>
      </c>
      <c r="C776" s="5" t="s">
        <v>17</v>
      </c>
      <c r="D776" s="5" t="s">
        <v>18</v>
      </c>
      <c r="E776" s="5" t="s">
        <v>42</v>
      </c>
      <c r="F776" s="5" t="s">
        <v>32</v>
      </c>
      <c r="G776" s="5" t="s">
        <v>65</v>
      </c>
      <c r="H776" s="5">
        <v>138</v>
      </c>
      <c r="I776" s="6">
        <v>4631</v>
      </c>
      <c r="J776" s="6">
        <v>639078</v>
      </c>
      <c r="K776" s="5">
        <v>0</v>
      </c>
      <c r="L776" s="6">
        <v>639078</v>
      </c>
      <c r="M776" s="6">
        <v>408021.86</v>
      </c>
      <c r="N776" s="6">
        <v>231056.14</v>
      </c>
      <c r="O776" s="7">
        <v>36.15</v>
      </c>
      <c r="P776" s="5" t="s">
        <v>61</v>
      </c>
    </row>
    <row r="777" spans="1:16" x14ac:dyDescent="0.3">
      <c r="A777" s="2">
        <v>1787</v>
      </c>
      <c r="B777" s="2" t="s">
        <v>30</v>
      </c>
      <c r="C777" s="2" t="s">
        <v>31</v>
      </c>
      <c r="D777" s="2" t="s">
        <v>18</v>
      </c>
      <c r="E777" s="2" t="s">
        <v>44</v>
      </c>
      <c r="F777" s="2" t="s">
        <v>32</v>
      </c>
      <c r="G777" s="2" t="s">
        <v>75</v>
      </c>
      <c r="H777" s="2">
        <v>40</v>
      </c>
      <c r="I777" s="3">
        <v>10840</v>
      </c>
      <c r="J777" s="3">
        <v>433600</v>
      </c>
      <c r="K777" s="2">
        <v>15</v>
      </c>
      <c r="L777" s="3">
        <v>368560</v>
      </c>
      <c r="M777" s="3">
        <v>248401.01</v>
      </c>
      <c r="N777" s="3">
        <v>120158.99</v>
      </c>
      <c r="O777" s="4">
        <v>32.6</v>
      </c>
      <c r="P777" s="2" t="s">
        <v>29</v>
      </c>
    </row>
    <row r="778" spans="1:16" x14ac:dyDescent="0.3">
      <c r="A778" s="5">
        <v>1731</v>
      </c>
      <c r="B778" s="5" t="s">
        <v>30</v>
      </c>
      <c r="C778" s="5" t="s">
        <v>31</v>
      </c>
      <c r="D778" s="5" t="s">
        <v>18</v>
      </c>
      <c r="E778" s="5" t="s">
        <v>19</v>
      </c>
      <c r="F778" s="5" t="s">
        <v>37</v>
      </c>
      <c r="G778" s="5" t="s">
        <v>59</v>
      </c>
      <c r="H778" s="5">
        <v>140</v>
      </c>
      <c r="I778" s="6">
        <v>516</v>
      </c>
      <c r="J778" s="6">
        <v>72240</v>
      </c>
      <c r="K778" s="5">
        <v>10</v>
      </c>
      <c r="L778" s="6">
        <v>65016</v>
      </c>
      <c r="M778" s="6">
        <v>39277.440000000002</v>
      </c>
      <c r="N778" s="6">
        <v>25738.560000000001</v>
      </c>
      <c r="O778" s="7">
        <v>39.590000000000003</v>
      </c>
      <c r="P778" s="5" t="s">
        <v>45</v>
      </c>
    </row>
    <row r="779" spans="1:16" x14ac:dyDescent="0.3">
      <c r="A779" s="2">
        <v>1529</v>
      </c>
      <c r="B779" s="2" t="s">
        <v>73</v>
      </c>
      <c r="C779" s="2" t="s">
        <v>74</v>
      </c>
      <c r="D779" s="2" t="s">
        <v>56</v>
      </c>
      <c r="E779" s="2" t="s">
        <v>19</v>
      </c>
      <c r="F779" s="2" t="s">
        <v>27</v>
      </c>
      <c r="G779" s="2" t="s">
        <v>66</v>
      </c>
      <c r="H779" s="2">
        <v>120</v>
      </c>
      <c r="I779" s="3">
        <v>855</v>
      </c>
      <c r="J779" s="3">
        <v>102600</v>
      </c>
      <c r="K779" s="2">
        <v>0</v>
      </c>
      <c r="L779" s="3">
        <v>102600</v>
      </c>
      <c r="M779" s="3">
        <v>60192.54</v>
      </c>
      <c r="N779" s="3">
        <v>42407.46</v>
      </c>
      <c r="O779" s="4">
        <v>41.33</v>
      </c>
      <c r="P779" s="2" t="s">
        <v>22</v>
      </c>
    </row>
    <row r="780" spans="1:16" x14ac:dyDescent="0.3">
      <c r="A780" s="5">
        <v>1256</v>
      </c>
      <c r="B780" s="5" t="s">
        <v>52</v>
      </c>
      <c r="C780" s="5" t="s">
        <v>53</v>
      </c>
      <c r="D780" s="5" t="s">
        <v>25</v>
      </c>
      <c r="E780" s="5" t="s">
        <v>42</v>
      </c>
      <c r="F780" s="5" t="s">
        <v>37</v>
      </c>
      <c r="G780" s="5" t="s">
        <v>59</v>
      </c>
      <c r="H780" s="5">
        <v>59</v>
      </c>
      <c r="I780" s="6">
        <v>508</v>
      </c>
      <c r="J780" s="6">
        <v>29972</v>
      </c>
      <c r="K780" s="5">
        <v>0</v>
      </c>
      <c r="L780" s="6">
        <v>29972</v>
      </c>
      <c r="M780" s="6">
        <v>20606.11</v>
      </c>
      <c r="N780" s="6">
        <v>9365.89</v>
      </c>
      <c r="O780" s="7">
        <v>31.25</v>
      </c>
      <c r="P780" s="5" t="s">
        <v>50</v>
      </c>
    </row>
    <row r="781" spans="1:16" x14ac:dyDescent="0.3">
      <c r="A781" s="2">
        <v>1162</v>
      </c>
      <c r="B781" s="2" t="s">
        <v>23</v>
      </c>
      <c r="C781" s="2" t="s">
        <v>24</v>
      </c>
      <c r="D781" s="2" t="s">
        <v>25</v>
      </c>
      <c r="E781" s="2" t="s">
        <v>42</v>
      </c>
      <c r="F781" s="2" t="s">
        <v>32</v>
      </c>
      <c r="G781" s="2" t="s">
        <v>75</v>
      </c>
      <c r="H781" s="2">
        <v>84</v>
      </c>
      <c r="I781" s="3">
        <v>11361</v>
      </c>
      <c r="J781" s="3">
        <v>954324</v>
      </c>
      <c r="K781" s="2">
        <v>15</v>
      </c>
      <c r="L781" s="3">
        <v>811175.4</v>
      </c>
      <c r="M781" s="3">
        <v>451457.31</v>
      </c>
      <c r="N781" s="3">
        <v>359718.09</v>
      </c>
      <c r="O781" s="4">
        <v>44.35</v>
      </c>
      <c r="P781" s="2" t="s">
        <v>39</v>
      </c>
    </row>
    <row r="782" spans="1:16" x14ac:dyDescent="0.3">
      <c r="A782" s="5">
        <v>1114</v>
      </c>
      <c r="B782" s="5" t="s">
        <v>23</v>
      </c>
      <c r="C782" s="5" t="s">
        <v>24</v>
      </c>
      <c r="D782" s="5" t="s">
        <v>25</v>
      </c>
      <c r="E782" s="5" t="s">
        <v>26</v>
      </c>
      <c r="F782" s="5" t="s">
        <v>32</v>
      </c>
      <c r="G782" s="5" t="s">
        <v>33</v>
      </c>
      <c r="H782" s="5">
        <v>93</v>
      </c>
      <c r="I782" s="6">
        <v>10839</v>
      </c>
      <c r="J782" s="6">
        <v>1008027</v>
      </c>
      <c r="K782" s="5">
        <v>20</v>
      </c>
      <c r="L782" s="6">
        <v>806421.6</v>
      </c>
      <c r="M782" s="6">
        <v>499764.52</v>
      </c>
      <c r="N782" s="6">
        <v>306657.08</v>
      </c>
      <c r="O782" s="7">
        <v>38.03</v>
      </c>
      <c r="P782" s="5" t="s">
        <v>50</v>
      </c>
    </row>
    <row r="783" spans="1:16" x14ac:dyDescent="0.3">
      <c r="A783" s="2">
        <v>1085</v>
      </c>
      <c r="B783" s="2" t="s">
        <v>62</v>
      </c>
      <c r="C783" s="2" t="s">
        <v>63</v>
      </c>
      <c r="D783" s="2" t="s">
        <v>25</v>
      </c>
      <c r="E783" s="2" t="s">
        <v>44</v>
      </c>
      <c r="F783" s="2" t="s">
        <v>37</v>
      </c>
      <c r="G783" s="2" t="s">
        <v>67</v>
      </c>
      <c r="H783" s="2">
        <v>108</v>
      </c>
      <c r="I783" s="3">
        <v>1930</v>
      </c>
      <c r="J783" s="3">
        <v>208440</v>
      </c>
      <c r="K783" s="2">
        <v>0</v>
      </c>
      <c r="L783" s="3">
        <v>208440</v>
      </c>
      <c r="M783" s="3">
        <v>138980.09</v>
      </c>
      <c r="N783" s="3">
        <v>69459.91</v>
      </c>
      <c r="O783" s="4">
        <v>33.32</v>
      </c>
      <c r="P783" s="2" t="s">
        <v>45</v>
      </c>
    </row>
    <row r="784" spans="1:16" x14ac:dyDescent="0.3">
      <c r="A784" s="5">
        <v>1590</v>
      </c>
      <c r="B784" s="5" t="s">
        <v>73</v>
      </c>
      <c r="C784" s="5" t="s">
        <v>74</v>
      </c>
      <c r="D784" s="5" t="s">
        <v>56</v>
      </c>
      <c r="E784" s="5" t="s">
        <v>44</v>
      </c>
      <c r="F784" s="5" t="s">
        <v>32</v>
      </c>
      <c r="G784" s="5" t="s">
        <v>65</v>
      </c>
      <c r="H784" s="5">
        <v>155</v>
      </c>
      <c r="I784" s="6">
        <v>4641</v>
      </c>
      <c r="J784" s="6">
        <v>719355</v>
      </c>
      <c r="K784" s="5">
        <v>0</v>
      </c>
      <c r="L784" s="6">
        <v>719355</v>
      </c>
      <c r="M784" s="6">
        <v>421325.78</v>
      </c>
      <c r="N784" s="6">
        <v>298029.21999999997</v>
      </c>
      <c r="O784" s="7">
        <v>41.43</v>
      </c>
      <c r="P784" s="5" t="s">
        <v>41</v>
      </c>
    </row>
    <row r="785" spans="1:16" x14ac:dyDescent="0.3">
      <c r="A785" s="2">
        <v>1981</v>
      </c>
      <c r="B785" s="2" t="s">
        <v>34</v>
      </c>
      <c r="C785" s="2" t="s">
        <v>35</v>
      </c>
      <c r="D785" s="2" t="s">
        <v>36</v>
      </c>
      <c r="E785" s="2" t="s">
        <v>44</v>
      </c>
      <c r="F785" s="2" t="s">
        <v>37</v>
      </c>
      <c r="G785" s="2" t="s">
        <v>59</v>
      </c>
      <c r="H785" s="2">
        <v>32</v>
      </c>
      <c r="I785" s="3">
        <v>485</v>
      </c>
      <c r="J785" s="3">
        <v>15520</v>
      </c>
      <c r="K785" s="2">
        <v>0</v>
      </c>
      <c r="L785" s="3">
        <v>15520</v>
      </c>
      <c r="M785" s="3">
        <v>10523.71</v>
      </c>
      <c r="N785" s="3">
        <v>4996.29</v>
      </c>
      <c r="O785" s="4">
        <v>32.19</v>
      </c>
      <c r="P785" s="2" t="s">
        <v>50</v>
      </c>
    </row>
    <row r="786" spans="1:16" x14ac:dyDescent="0.3">
      <c r="A786" s="5">
        <v>2189</v>
      </c>
      <c r="B786" s="5" t="s">
        <v>46</v>
      </c>
      <c r="C786" s="5" t="s">
        <v>47</v>
      </c>
      <c r="D786" s="5" t="s">
        <v>36</v>
      </c>
      <c r="E786" s="5" t="s">
        <v>44</v>
      </c>
      <c r="F786" s="5" t="s">
        <v>32</v>
      </c>
      <c r="G786" s="5" t="s">
        <v>33</v>
      </c>
      <c r="H786" s="5">
        <v>179</v>
      </c>
      <c r="I786" s="6">
        <v>10198</v>
      </c>
      <c r="J786" s="6">
        <v>1825442</v>
      </c>
      <c r="K786" s="5">
        <v>0</v>
      </c>
      <c r="L786" s="6">
        <v>1825442</v>
      </c>
      <c r="M786" s="6">
        <v>1152870.3999999999</v>
      </c>
      <c r="N786" s="6">
        <v>672571.6</v>
      </c>
      <c r="O786" s="7">
        <v>36.840000000000003</v>
      </c>
      <c r="P786" s="5" t="s">
        <v>41</v>
      </c>
    </row>
    <row r="787" spans="1:16" x14ac:dyDescent="0.3">
      <c r="A787" s="2">
        <v>1644</v>
      </c>
      <c r="B787" s="2" t="s">
        <v>16</v>
      </c>
      <c r="C787" s="2" t="s">
        <v>17</v>
      </c>
      <c r="D787" s="2" t="s">
        <v>18</v>
      </c>
      <c r="E787" s="2" t="s">
        <v>19</v>
      </c>
      <c r="F787" s="2" t="s">
        <v>20</v>
      </c>
      <c r="G787" s="2" t="s">
        <v>68</v>
      </c>
      <c r="H787" s="2">
        <v>115</v>
      </c>
      <c r="I787" s="3">
        <v>155</v>
      </c>
      <c r="J787" s="3">
        <v>17825</v>
      </c>
      <c r="K787" s="2">
        <v>0</v>
      </c>
      <c r="L787" s="3">
        <v>17825</v>
      </c>
      <c r="M787" s="3">
        <v>11556.13</v>
      </c>
      <c r="N787" s="3">
        <v>6268.87</v>
      </c>
      <c r="O787" s="4">
        <v>35.17</v>
      </c>
      <c r="P787" s="2" t="s">
        <v>50</v>
      </c>
    </row>
    <row r="788" spans="1:16" x14ac:dyDescent="0.3">
      <c r="A788" s="5">
        <v>2090</v>
      </c>
      <c r="B788" s="5" t="s">
        <v>76</v>
      </c>
      <c r="C788" s="5" t="s">
        <v>77</v>
      </c>
      <c r="D788" s="5" t="s">
        <v>36</v>
      </c>
      <c r="E788" s="5" t="s">
        <v>44</v>
      </c>
      <c r="F788" s="5" t="s">
        <v>32</v>
      </c>
      <c r="G788" s="5" t="s">
        <v>65</v>
      </c>
      <c r="H788" s="5">
        <v>94</v>
      </c>
      <c r="I788" s="6">
        <v>5353</v>
      </c>
      <c r="J788" s="6">
        <v>503182</v>
      </c>
      <c r="K788" s="5">
        <v>10</v>
      </c>
      <c r="L788" s="6">
        <v>452863.8</v>
      </c>
      <c r="M788" s="6">
        <v>254540.48</v>
      </c>
      <c r="N788" s="6">
        <v>198323.32</v>
      </c>
      <c r="O788" s="7">
        <v>43.79</v>
      </c>
      <c r="P788" s="5" t="s">
        <v>39</v>
      </c>
    </row>
    <row r="789" spans="1:16" x14ac:dyDescent="0.3">
      <c r="A789" s="2">
        <v>2041</v>
      </c>
      <c r="B789" s="2" t="s">
        <v>76</v>
      </c>
      <c r="C789" s="2" t="s">
        <v>77</v>
      </c>
      <c r="D789" s="2" t="s">
        <v>36</v>
      </c>
      <c r="E789" s="2" t="s">
        <v>19</v>
      </c>
      <c r="F789" s="2" t="s">
        <v>20</v>
      </c>
      <c r="G789" s="2" t="s">
        <v>64</v>
      </c>
      <c r="H789" s="2">
        <v>96</v>
      </c>
      <c r="I789" s="3">
        <v>197</v>
      </c>
      <c r="J789" s="3">
        <v>18912</v>
      </c>
      <c r="K789" s="2">
        <v>5</v>
      </c>
      <c r="L789" s="3">
        <v>17966.400000000001</v>
      </c>
      <c r="M789" s="3">
        <v>11666.9</v>
      </c>
      <c r="N789" s="3">
        <v>6299.5</v>
      </c>
      <c r="O789" s="4">
        <v>35.06</v>
      </c>
      <c r="P789" s="2" t="s">
        <v>39</v>
      </c>
    </row>
    <row r="790" spans="1:16" x14ac:dyDescent="0.3">
      <c r="A790" s="5">
        <v>1004</v>
      </c>
      <c r="B790" s="5" t="s">
        <v>62</v>
      </c>
      <c r="C790" s="5" t="s">
        <v>63</v>
      </c>
      <c r="D790" s="5" t="s">
        <v>25</v>
      </c>
      <c r="E790" s="5" t="s">
        <v>26</v>
      </c>
      <c r="F790" s="5" t="s">
        <v>27</v>
      </c>
      <c r="G790" s="5" t="s">
        <v>66</v>
      </c>
      <c r="H790" s="5">
        <v>42</v>
      </c>
      <c r="I790" s="6">
        <v>814</v>
      </c>
      <c r="J790" s="6">
        <v>34188</v>
      </c>
      <c r="K790" s="5">
        <v>0</v>
      </c>
      <c r="L790" s="6">
        <v>34188</v>
      </c>
      <c r="M790" s="6">
        <v>22694.720000000001</v>
      </c>
      <c r="N790" s="6">
        <v>11493.28</v>
      </c>
      <c r="O790" s="7">
        <v>33.619999999999997</v>
      </c>
      <c r="P790" s="5" t="s">
        <v>61</v>
      </c>
    </row>
    <row r="791" spans="1:16" x14ac:dyDescent="0.3">
      <c r="A791" s="2">
        <v>2002</v>
      </c>
      <c r="B791" s="2" t="s">
        <v>76</v>
      </c>
      <c r="C791" s="2" t="s">
        <v>77</v>
      </c>
      <c r="D791" s="2" t="s">
        <v>36</v>
      </c>
      <c r="E791" s="2" t="s">
        <v>26</v>
      </c>
      <c r="F791" s="2" t="s">
        <v>27</v>
      </c>
      <c r="G791" s="2" t="s">
        <v>28</v>
      </c>
      <c r="H791" s="2">
        <v>156</v>
      </c>
      <c r="I791" s="3">
        <v>8548</v>
      </c>
      <c r="J791" s="3">
        <v>1333488</v>
      </c>
      <c r="K791" s="2">
        <v>15</v>
      </c>
      <c r="L791" s="3">
        <v>1133464.8</v>
      </c>
      <c r="M791" s="3">
        <v>655263.75</v>
      </c>
      <c r="N791" s="3">
        <v>478201.05</v>
      </c>
      <c r="O791" s="4">
        <v>42.19</v>
      </c>
      <c r="P791" s="2" t="s">
        <v>29</v>
      </c>
    </row>
    <row r="792" spans="1:16" x14ac:dyDescent="0.3">
      <c r="A792" s="5">
        <v>2043</v>
      </c>
      <c r="B792" s="5" t="s">
        <v>76</v>
      </c>
      <c r="C792" s="5" t="s">
        <v>77</v>
      </c>
      <c r="D792" s="5" t="s">
        <v>36</v>
      </c>
      <c r="E792" s="5" t="s">
        <v>19</v>
      </c>
      <c r="F792" s="5" t="s">
        <v>20</v>
      </c>
      <c r="G792" s="5" t="s">
        <v>21</v>
      </c>
      <c r="H792" s="5">
        <v>76</v>
      </c>
      <c r="I792" s="6">
        <v>129</v>
      </c>
      <c r="J792" s="6">
        <v>9804</v>
      </c>
      <c r="K792" s="5">
        <v>0</v>
      </c>
      <c r="L792" s="6">
        <v>9804</v>
      </c>
      <c r="M792" s="6">
        <v>5589.67</v>
      </c>
      <c r="N792" s="6">
        <v>4214.33</v>
      </c>
      <c r="O792" s="7">
        <v>42.99</v>
      </c>
      <c r="P792" s="5" t="s">
        <v>29</v>
      </c>
    </row>
    <row r="793" spans="1:16" x14ac:dyDescent="0.3">
      <c r="A793" s="2">
        <v>1811</v>
      </c>
      <c r="B793" s="2" t="s">
        <v>70</v>
      </c>
      <c r="C793" s="2" t="s">
        <v>71</v>
      </c>
      <c r="D793" s="2" t="s">
        <v>18</v>
      </c>
      <c r="E793" s="2" t="s">
        <v>26</v>
      </c>
      <c r="F793" s="2" t="s">
        <v>32</v>
      </c>
      <c r="G793" s="2" t="s">
        <v>40</v>
      </c>
      <c r="H793" s="2">
        <v>161</v>
      </c>
      <c r="I793" s="3">
        <v>18179</v>
      </c>
      <c r="J793" s="3">
        <v>2926819</v>
      </c>
      <c r="K793" s="2">
        <v>10</v>
      </c>
      <c r="L793" s="3">
        <v>2634137.1</v>
      </c>
      <c r="M793" s="3">
        <v>1586069.96</v>
      </c>
      <c r="N793" s="3">
        <v>1048067.14</v>
      </c>
      <c r="O793" s="4">
        <v>39.79</v>
      </c>
      <c r="P793" s="2" t="s">
        <v>50</v>
      </c>
    </row>
    <row r="794" spans="1:16" x14ac:dyDescent="0.3">
      <c r="A794" s="5">
        <v>1455</v>
      </c>
      <c r="B794" s="5" t="s">
        <v>54</v>
      </c>
      <c r="C794" s="5" t="s">
        <v>55</v>
      </c>
      <c r="D794" s="5" t="s">
        <v>56</v>
      </c>
      <c r="E794" s="5" t="s">
        <v>42</v>
      </c>
      <c r="F794" s="5" t="s">
        <v>27</v>
      </c>
      <c r="G794" s="5" t="s">
        <v>84</v>
      </c>
      <c r="H794" s="5">
        <v>157</v>
      </c>
      <c r="I794" s="6">
        <v>14129</v>
      </c>
      <c r="J794" s="6">
        <v>2218253</v>
      </c>
      <c r="K794" s="5">
        <v>5</v>
      </c>
      <c r="L794" s="6">
        <v>2107340.35</v>
      </c>
      <c r="M794" s="6">
        <v>1421806.25</v>
      </c>
      <c r="N794" s="6">
        <v>685534.1</v>
      </c>
      <c r="O794" s="7">
        <v>32.53</v>
      </c>
      <c r="P794" s="5" t="s">
        <v>29</v>
      </c>
    </row>
    <row r="795" spans="1:16" x14ac:dyDescent="0.3">
      <c r="A795" s="2">
        <v>1646</v>
      </c>
      <c r="B795" s="2" t="s">
        <v>16</v>
      </c>
      <c r="C795" s="2" t="s">
        <v>17</v>
      </c>
      <c r="D795" s="2" t="s">
        <v>18</v>
      </c>
      <c r="E795" s="2" t="s">
        <v>19</v>
      </c>
      <c r="F795" s="2" t="s">
        <v>48</v>
      </c>
      <c r="G795" s="2" t="s">
        <v>69</v>
      </c>
      <c r="H795" s="2">
        <v>70</v>
      </c>
      <c r="I795" s="3">
        <v>1251</v>
      </c>
      <c r="J795" s="3">
        <v>87570</v>
      </c>
      <c r="K795" s="2">
        <v>20</v>
      </c>
      <c r="L795" s="3">
        <v>70056</v>
      </c>
      <c r="M795" s="3">
        <v>48056.94</v>
      </c>
      <c r="N795" s="3">
        <v>21999.06</v>
      </c>
      <c r="O795" s="4">
        <v>31.4</v>
      </c>
      <c r="P795" s="2" t="s">
        <v>41</v>
      </c>
    </row>
    <row r="796" spans="1:16" x14ac:dyDescent="0.3">
      <c r="A796" s="5">
        <v>2070</v>
      </c>
      <c r="B796" s="5" t="s">
        <v>76</v>
      </c>
      <c r="C796" s="5" t="s">
        <v>77</v>
      </c>
      <c r="D796" s="5" t="s">
        <v>36</v>
      </c>
      <c r="E796" s="5" t="s">
        <v>42</v>
      </c>
      <c r="F796" s="5" t="s">
        <v>20</v>
      </c>
      <c r="G796" s="5" t="s">
        <v>60</v>
      </c>
      <c r="H796" s="5">
        <v>182</v>
      </c>
      <c r="I796" s="6">
        <v>86</v>
      </c>
      <c r="J796" s="6">
        <v>15652</v>
      </c>
      <c r="K796" s="5">
        <v>15</v>
      </c>
      <c r="L796" s="6">
        <v>13304.2</v>
      </c>
      <c r="M796" s="6">
        <v>8237.51</v>
      </c>
      <c r="N796" s="6">
        <v>5066.6899999999996</v>
      </c>
      <c r="O796" s="7">
        <v>38.08</v>
      </c>
      <c r="P796" s="5" t="s">
        <v>45</v>
      </c>
    </row>
    <row r="797" spans="1:16" x14ac:dyDescent="0.3">
      <c r="A797" s="5">
        <v>2148</v>
      </c>
      <c r="B797" s="5" t="s">
        <v>46</v>
      </c>
      <c r="C797" s="5" t="s">
        <v>47</v>
      </c>
      <c r="D797" s="5" t="s">
        <v>36</v>
      </c>
      <c r="E797" s="5" t="s">
        <v>19</v>
      </c>
      <c r="F797" s="5" t="s">
        <v>48</v>
      </c>
      <c r="G797" s="5" t="s">
        <v>49</v>
      </c>
      <c r="H797" s="5">
        <v>112</v>
      </c>
      <c r="I797" s="6">
        <v>779</v>
      </c>
      <c r="J797" s="6">
        <v>87248</v>
      </c>
      <c r="K797" s="5">
        <v>0</v>
      </c>
      <c r="L797" s="6">
        <v>87248</v>
      </c>
      <c r="M797" s="6">
        <v>50451.42</v>
      </c>
      <c r="N797" s="6">
        <v>36796.58</v>
      </c>
      <c r="O797" s="7">
        <v>42.17</v>
      </c>
      <c r="P797" s="5" t="s">
        <v>39</v>
      </c>
    </row>
    <row r="798" spans="1:16" x14ac:dyDescent="0.3">
      <c r="A798" s="2">
        <v>1054</v>
      </c>
      <c r="B798" s="2" t="s">
        <v>62</v>
      </c>
      <c r="C798" s="2" t="s">
        <v>63</v>
      </c>
      <c r="D798" s="2" t="s">
        <v>25</v>
      </c>
      <c r="E798" s="2" t="s">
        <v>42</v>
      </c>
      <c r="F798" s="2" t="s">
        <v>27</v>
      </c>
      <c r="G798" s="2" t="s">
        <v>66</v>
      </c>
      <c r="H798" s="2">
        <v>89</v>
      </c>
      <c r="I798" s="3">
        <v>809</v>
      </c>
      <c r="J798" s="3">
        <v>72001</v>
      </c>
      <c r="K798" s="2">
        <v>0</v>
      </c>
      <c r="L798" s="3">
        <v>72001</v>
      </c>
      <c r="M798" s="3">
        <v>49741.13</v>
      </c>
      <c r="N798" s="3">
        <v>22259.87</v>
      </c>
      <c r="O798" s="4">
        <v>30.92</v>
      </c>
      <c r="P798" s="2" t="s">
        <v>61</v>
      </c>
    </row>
    <row r="799" spans="1:16" x14ac:dyDescent="0.3">
      <c r="A799" s="5">
        <v>1781</v>
      </c>
      <c r="B799" s="5" t="s">
        <v>30</v>
      </c>
      <c r="C799" s="5" t="s">
        <v>31</v>
      </c>
      <c r="D799" s="5" t="s">
        <v>18</v>
      </c>
      <c r="E799" s="5" t="s">
        <v>44</v>
      </c>
      <c r="F799" s="5" t="s">
        <v>37</v>
      </c>
      <c r="G799" s="5" t="s">
        <v>59</v>
      </c>
      <c r="H799" s="5">
        <v>149</v>
      </c>
      <c r="I799" s="6">
        <v>465</v>
      </c>
      <c r="J799" s="6">
        <v>69285</v>
      </c>
      <c r="K799" s="5">
        <v>0</v>
      </c>
      <c r="L799" s="6">
        <v>69285</v>
      </c>
      <c r="M799" s="6">
        <v>40790.78</v>
      </c>
      <c r="N799" s="6">
        <v>28494.22</v>
      </c>
      <c r="O799" s="7">
        <v>41.13</v>
      </c>
      <c r="P799" s="5" t="s">
        <v>61</v>
      </c>
    </row>
    <row r="800" spans="1:16" x14ac:dyDescent="0.3">
      <c r="A800" s="2">
        <v>2079</v>
      </c>
      <c r="B800" s="2" t="s">
        <v>76</v>
      </c>
      <c r="C800" s="2" t="s">
        <v>77</v>
      </c>
      <c r="D800" s="2" t="s">
        <v>36</v>
      </c>
      <c r="E800" s="2" t="s">
        <v>44</v>
      </c>
      <c r="F800" s="2" t="s">
        <v>27</v>
      </c>
      <c r="G800" s="2" t="s">
        <v>66</v>
      </c>
      <c r="H800" s="2">
        <v>78</v>
      </c>
      <c r="I800" s="3">
        <v>730</v>
      </c>
      <c r="J800" s="3">
        <v>56940</v>
      </c>
      <c r="K800" s="2">
        <v>15</v>
      </c>
      <c r="L800" s="3">
        <v>48399</v>
      </c>
      <c r="M800" s="3">
        <v>29034.47</v>
      </c>
      <c r="N800" s="3">
        <v>19364.53</v>
      </c>
      <c r="O800" s="4">
        <v>40.01</v>
      </c>
      <c r="P800" s="2" t="s">
        <v>43</v>
      </c>
    </row>
    <row r="801" spans="1:16" x14ac:dyDescent="0.3">
      <c r="A801" s="5">
        <v>2062</v>
      </c>
      <c r="B801" s="5" t="s">
        <v>76</v>
      </c>
      <c r="C801" s="5" t="s">
        <v>77</v>
      </c>
      <c r="D801" s="5" t="s">
        <v>36</v>
      </c>
      <c r="E801" s="5" t="s">
        <v>42</v>
      </c>
      <c r="F801" s="5" t="s">
        <v>32</v>
      </c>
      <c r="G801" s="5" t="s">
        <v>75</v>
      </c>
      <c r="H801" s="5">
        <v>214</v>
      </c>
      <c r="I801" s="6">
        <v>12229</v>
      </c>
      <c r="J801" s="6">
        <v>2617006</v>
      </c>
      <c r="K801" s="5">
        <v>0</v>
      </c>
      <c r="L801" s="6">
        <v>2617006</v>
      </c>
      <c r="M801" s="6">
        <v>1768159.52</v>
      </c>
      <c r="N801" s="6">
        <v>848846.48</v>
      </c>
      <c r="O801" s="7">
        <v>32.44</v>
      </c>
      <c r="P801" s="5" t="s">
        <v>22</v>
      </c>
    </row>
    <row r="802" spans="1:16" x14ac:dyDescent="0.3">
      <c r="A802" s="2">
        <v>1465</v>
      </c>
      <c r="B802" s="2" t="s">
        <v>54</v>
      </c>
      <c r="C802" s="2" t="s">
        <v>55</v>
      </c>
      <c r="D802" s="2" t="s">
        <v>56</v>
      </c>
      <c r="E802" s="2" t="s">
        <v>42</v>
      </c>
      <c r="F802" s="2" t="s">
        <v>32</v>
      </c>
      <c r="G802" s="2" t="s">
        <v>65</v>
      </c>
      <c r="H802" s="2">
        <v>91</v>
      </c>
      <c r="I802" s="3">
        <v>4795</v>
      </c>
      <c r="J802" s="3">
        <v>436345</v>
      </c>
      <c r="K802" s="2">
        <v>0</v>
      </c>
      <c r="L802" s="3">
        <v>436345</v>
      </c>
      <c r="M802" s="3">
        <v>247586.69</v>
      </c>
      <c r="N802" s="3">
        <v>188758.31</v>
      </c>
      <c r="O802" s="4">
        <v>43.26</v>
      </c>
      <c r="P802" s="2" t="s">
        <v>61</v>
      </c>
    </row>
    <row r="803" spans="1:16" x14ac:dyDescent="0.3">
      <c r="A803" s="5">
        <v>1335</v>
      </c>
      <c r="B803" s="5" t="s">
        <v>57</v>
      </c>
      <c r="C803" s="5" t="s">
        <v>58</v>
      </c>
      <c r="D803" s="5" t="s">
        <v>56</v>
      </c>
      <c r="E803" s="5" t="s">
        <v>19</v>
      </c>
      <c r="F803" s="5" t="s">
        <v>37</v>
      </c>
      <c r="G803" s="5" t="s">
        <v>67</v>
      </c>
      <c r="H803" s="5">
        <v>89</v>
      </c>
      <c r="I803" s="6">
        <v>1690</v>
      </c>
      <c r="J803" s="6">
        <v>150410</v>
      </c>
      <c r="K803" s="5">
        <v>5</v>
      </c>
      <c r="L803" s="6">
        <v>142889.5</v>
      </c>
      <c r="M803" s="6">
        <v>80165.259999999995</v>
      </c>
      <c r="N803" s="6">
        <v>62724.24</v>
      </c>
      <c r="O803" s="7">
        <v>43.9</v>
      </c>
      <c r="P803" s="5" t="s">
        <v>39</v>
      </c>
    </row>
    <row r="804" spans="1:16" x14ac:dyDescent="0.3">
      <c r="A804" s="2">
        <v>1756</v>
      </c>
      <c r="B804" s="2" t="s">
        <v>30</v>
      </c>
      <c r="C804" s="2" t="s">
        <v>31</v>
      </c>
      <c r="D804" s="2" t="s">
        <v>18</v>
      </c>
      <c r="E804" s="2" t="s">
        <v>42</v>
      </c>
      <c r="F804" s="2" t="s">
        <v>37</v>
      </c>
      <c r="G804" s="2" t="s">
        <v>59</v>
      </c>
      <c r="H804" s="2">
        <v>158</v>
      </c>
      <c r="I804" s="3">
        <v>482</v>
      </c>
      <c r="J804" s="3">
        <v>76156</v>
      </c>
      <c r="K804" s="2">
        <v>20</v>
      </c>
      <c r="L804" s="3">
        <v>60924.800000000003</v>
      </c>
      <c r="M804" s="3">
        <v>36509.300000000003</v>
      </c>
      <c r="N804" s="3">
        <v>24415.5</v>
      </c>
      <c r="O804" s="4">
        <v>40.07</v>
      </c>
      <c r="P804" s="2" t="s">
        <v>50</v>
      </c>
    </row>
    <row r="805" spans="1:16" x14ac:dyDescent="0.3">
      <c r="A805" s="5">
        <v>1561</v>
      </c>
      <c r="B805" s="5" t="s">
        <v>73</v>
      </c>
      <c r="C805" s="5" t="s">
        <v>74</v>
      </c>
      <c r="D805" s="5" t="s">
        <v>56</v>
      </c>
      <c r="E805" s="5" t="s">
        <v>42</v>
      </c>
      <c r="F805" s="5" t="s">
        <v>32</v>
      </c>
      <c r="G805" s="5" t="s">
        <v>40</v>
      </c>
      <c r="H805" s="5">
        <v>143</v>
      </c>
      <c r="I805" s="6">
        <v>16703</v>
      </c>
      <c r="J805" s="6">
        <v>2388529</v>
      </c>
      <c r="K805" s="5">
        <v>0</v>
      </c>
      <c r="L805" s="6">
        <v>2388529</v>
      </c>
      <c r="M805" s="6">
        <v>1335785.75</v>
      </c>
      <c r="N805" s="6">
        <v>1052743.25</v>
      </c>
      <c r="O805" s="7">
        <v>44.07</v>
      </c>
      <c r="P805" s="5" t="s">
        <v>45</v>
      </c>
    </row>
    <row r="806" spans="1:16" x14ac:dyDescent="0.3">
      <c r="A806" s="2">
        <v>2040</v>
      </c>
      <c r="B806" s="2" t="s">
        <v>76</v>
      </c>
      <c r="C806" s="2" t="s">
        <v>77</v>
      </c>
      <c r="D806" s="2" t="s">
        <v>36</v>
      </c>
      <c r="E806" s="2" t="s">
        <v>19</v>
      </c>
      <c r="F806" s="2" t="s">
        <v>32</v>
      </c>
      <c r="G806" s="2" t="s">
        <v>65</v>
      </c>
      <c r="H806" s="2">
        <v>176</v>
      </c>
      <c r="I806" s="3">
        <v>4735</v>
      </c>
      <c r="J806" s="3">
        <v>833360</v>
      </c>
      <c r="K806" s="2">
        <v>15</v>
      </c>
      <c r="L806" s="3">
        <v>708356</v>
      </c>
      <c r="M806" s="3">
        <v>456026.95</v>
      </c>
      <c r="N806" s="3">
        <v>252329.05</v>
      </c>
      <c r="O806" s="4">
        <v>35.619999999999997</v>
      </c>
      <c r="P806" s="2" t="s">
        <v>22</v>
      </c>
    </row>
    <row r="807" spans="1:16" x14ac:dyDescent="0.3">
      <c r="A807" s="5">
        <v>1980</v>
      </c>
      <c r="B807" s="5" t="s">
        <v>34</v>
      </c>
      <c r="C807" s="5" t="s">
        <v>35</v>
      </c>
      <c r="D807" s="5" t="s">
        <v>36</v>
      </c>
      <c r="E807" s="5" t="s">
        <v>44</v>
      </c>
      <c r="F807" s="5" t="s">
        <v>27</v>
      </c>
      <c r="G807" s="5" t="s">
        <v>84</v>
      </c>
      <c r="H807" s="5">
        <v>120</v>
      </c>
      <c r="I807" s="6">
        <v>15173</v>
      </c>
      <c r="J807" s="6">
        <v>1820760</v>
      </c>
      <c r="K807" s="5">
        <v>5</v>
      </c>
      <c r="L807" s="6">
        <v>1729722</v>
      </c>
      <c r="M807" s="6">
        <v>964039.49</v>
      </c>
      <c r="N807" s="6">
        <v>765682.51</v>
      </c>
      <c r="O807" s="7">
        <v>44.27</v>
      </c>
      <c r="P807" s="5" t="s">
        <v>61</v>
      </c>
    </row>
    <row r="808" spans="1:16" x14ac:dyDescent="0.3">
      <c r="A808" s="2">
        <v>1431</v>
      </c>
      <c r="B808" s="2" t="s">
        <v>54</v>
      </c>
      <c r="C808" s="2" t="s">
        <v>55</v>
      </c>
      <c r="D808" s="2" t="s">
        <v>56</v>
      </c>
      <c r="E808" s="2" t="s">
        <v>19</v>
      </c>
      <c r="F808" s="2" t="s">
        <v>37</v>
      </c>
      <c r="G808" s="2" t="s">
        <v>59</v>
      </c>
      <c r="H808" s="2">
        <v>43</v>
      </c>
      <c r="I808" s="3">
        <v>535</v>
      </c>
      <c r="J808" s="3">
        <v>23005</v>
      </c>
      <c r="K808" s="2">
        <v>0</v>
      </c>
      <c r="L808" s="3">
        <v>23005</v>
      </c>
      <c r="M808" s="3">
        <v>15970.54</v>
      </c>
      <c r="N808" s="3">
        <v>7034.46</v>
      </c>
      <c r="O808" s="4">
        <v>30.58</v>
      </c>
      <c r="P808" s="2" t="s">
        <v>61</v>
      </c>
    </row>
    <row r="809" spans="1:16" x14ac:dyDescent="0.3">
      <c r="A809" s="5">
        <v>1361</v>
      </c>
      <c r="B809" s="5" t="s">
        <v>57</v>
      </c>
      <c r="C809" s="5" t="s">
        <v>58</v>
      </c>
      <c r="D809" s="5" t="s">
        <v>56</v>
      </c>
      <c r="E809" s="5" t="s">
        <v>42</v>
      </c>
      <c r="F809" s="5" t="s">
        <v>32</v>
      </c>
      <c r="G809" s="5" t="s">
        <v>40</v>
      </c>
      <c r="H809" s="5">
        <v>76</v>
      </c>
      <c r="I809" s="6">
        <v>19566</v>
      </c>
      <c r="J809" s="6">
        <v>1487016</v>
      </c>
      <c r="K809" s="5">
        <v>20</v>
      </c>
      <c r="L809" s="6">
        <v>1189612.8</v>
      </c>
      <c r="M809" s="6">
        <v>739483.87</v>
      </c>
      <c r="N809" s="6">
        <v>450128.93</v>
      </c>
      <c r="O809" s="7">
        <v>37.840000000000003</v>
      </c>
      <c r="P809" s="5" t="s">
        <v>45</v>
      </c>
    </row>
    <row r="810" spans="1:16" x14ac:dyDescent="0.3">
      <c r="A810" s="2">
        <v>2161</v>
      </c>
      <c r="B810" s="2" t="s">
        <v>46</v>
      </c>
      <c r="C810" s="2" t="s">
        <v>47</v>
      </c>
      <c r="D810" s="2" t="s">
        <v>36</v>
      </c>
      <c r="E810" s="2" t="s">
        <v>42</v>
      </c>
      <c r="F810" s="2" t="s">
        <v>32</v>
      </c>
      <c r="G810" s="2" t="s">
        <v>40</v>
      </c>
      <c r="H810" s="2">
        <v>61</v>
      </c>
      <c r="I810" s="3">
        <v>17814</v>
      </c>
      <c r="J810" s="3">
        <v>1086654</v>
      </c>
      <c r="K810" s="2">
        <v>0</v>
      </c>
      <c r="L810" s="3">
        <v>1086654</v>
      </c>
      <c r="M810" s="3">
        <v>684642.49</v>
      </c>
      <c r="N810" s="3">
        <v>402011.51</v>
      </c>
      <c r="O810" s="4">
        <v>37</v>
      </c>
      <c r="P810" s="2" t="s">
        <v>29</v>
      </c>
    </row>
    <row r="811" spans="1:16" x14ac:dyDescent="0.3">
      <c r="A811" s="2">
        <v>1268</v>
      </c>
      <c r="B811" s="2" t="s">
        <v>52</v>
      </c>
      <c r="C811" s="2" t="s">
        <v>53</v>
      </c>
      <c r="D811" s="2" t="s">
        <v>25</v>
      </c>
      <c r="E811" s="2" t="s">
        <v>42</v>
      </c>
      <c r="F811" s="2" t="s">
        <v>20</v>
      </c>
      <c r="G811" s="2" t="s">
        <v>21</v>
      </c>
      <c r="H811" s="2">
        <v>137</v>
      </c>
      <c r="I811" s="3">
        <v>128</v>
      </c>
      <c r="J811" s="3">
        <v>17536</v>
      </c>
      <c r="K811" s="2">
        <v>0</v>
      </c>
      <c r="L811" s="3">
        <v>17536</v>
      </c>
      <c r="M811" s="3">
        <v>11941.14</v>
      </c>
      <c r="N811" s="3">
        <v>5594.86</v>
      </c>
      <c r="O811" s="4">
        <v>31.9</v>
      </c>
      <c r="P811" s="2" t="s">
        <v>43</v>
      </c>
    </row>
    <row r="812" spans="1:16" x14ac:dyDescent="0.3">
      <c r="A812" s="5">
        <v>1716</v>
      </c>
      <c r="B812" s="5" t="s">
        <v>30</v>
      </c>
      <c r="C812" s="5" t="s">
        <v>31</v>
      </c>
      <c r="D812" s="5" t="s">
        <v>18</v>
      </c>
      <c r="E812" s="5" t="s">
        <v>26</v>
      </c>
      <c r="F812" s="5" t="s">
        <v>20</v>
      </c>
      <c r="G812" s="5" t="s">
        <v>64</v>
      </c>
      <c r="H812" s="5">
        <v>151</v>
      </c>
      <c r="I812" s="6">
        <v>201</v>
      </c>
      <c r="J812" s="6">
        <v>30351</v>
      </c>
      <c r="K812" s="5">
        <v>0</v>
      </c>
      <c r="L812" s="6">
        <v>30351</v>
      </c>
      <c r="M812" s="6">
        <v>18427.02</v>
      </c>
      <c r="N812" s="6">
        <v>11923.98</v>
      </c>
      <c r="O812" s="7">
        <v>39.29</v>
      </c>
      <c r="P812" s="5" t="s">
        <v>43</v>
      </c>
    </row>
    <row r="813" spans="1:16" x14ac:dyDescent="0.3">
      <c r="A813" s="2">
        <v>1859</v>
      </c>
      <c r="B813" s="2" t="s">
        <v>70</v>
      </c>
      <c r="C813" s="2" t="s">
        <v>71</v>
      </c>
      <c r="D813" s="2" t="s">
        <v>18</v>
      </c>
      <c r="E813" s="2" t="s">
        <v>42</v>
      </c>
      <c r="F813" s="2" t="s">
        <v>37</v>
      </c>
      <c r="G813" s="2" t="s">
        <v>82</v>
      </c>
      <c r="H813" s="2">
        <v>66</v>
      </c>
      <c r="I813" s="3">
        <v>1474</v>
      </c>
      <c r="J813" s="3">
        <v>97284</v>
      </c>
      <c r="K813" s="2">
        <v>0</v>
      </c>
      <c r="L813" s="3">
        <v>97284</v>
      </c>
      <c r="M813" s="3">
        <v>57936.12</v>
      </c>
      <c r="N813" s="3">
        <v>39347.879999999997</v>
      </c>
      <c r="O813" s="4">
        <v>40.450000000000003</v>
      </c>
      <c r="P813" s="2" t="s">
        <v>43</v>
      </c>
    </row>
    <row r="814" spans="1:16" x14ac:dyDescent="0.3">
      <c r="A814" s="5">
        <v>1103</v>
      </c>
      <c r="B814" s="5" t="s">
        <v>23</v>
      </c>
      <c r="C814" s="5" t="s">
        <v>24</v>
      </c>
      <c r="D814" s="5" t="s">
        <v>25</v>
      </c>
      <c r="E814" s="5" t="s">
        <v>26</v>
      </c>
      <c r="F814" s="5" t="s">
        <v>27</v>
      </c>
      <c r="G814" s="5" t="s">
        <v>83</v>
      </c>
      <c r="H814" s="5">
        <v>75</v>
      </c>
      <c r="I814" s="6">
        <v>5249</v>
      </c>
      <c r="J814" s="6">
        <v>393675</v>
      </c>
      <c r="K814" s="5">
        <v>0</v>
      </c>
      <c r="L814" s="6">
        <v>393675</v>
      </c>
      <c r="M814" s="6">
        <v>275567.06</v>
      </c>
      <c r="N814" s="6">
        <v>118107.94</v>
      </c>
      <c r="O814" s="7">
        <v>30</v>
      </c>
      <c r="P814" s="5" t="s">
        <v>41</v>
      </c>
    </row>
    <row r="815" spans="1:16" x14ac:dyDescent="0.3">
      <c r="A815" s="2">
        <v>2184</v>
      </c>
      <c r="B815" s="2" t="s">
        <v>46</v>
      </c>
      <c r="C815" s="2" t="s">
        <v>47</v>
      </c>
      <c r="D815" s="2" t="s">
        <v>36</v>
      </c>
      <c r="E815" s="2" t="s">
        <v>44</v>
      </c>
      <c r="F815" s="2" t="s">
        <v>37</v>
      </c>
      <c r="G815" s="2" t="s">
        <v>82</v>
      </c>
      <c r="H815" s="2">
        <v>199</v>
      </c>
      <c r="I815" s="3">
        <v>1538</v>
      </c>
      <c r="J815" s="3">
        <v>306062</v>
      </c>
      <c r="K815" s="2">
        <v>20</v>
      </c>
      <c r="L815" s="3">
        <v>244849.6</v>
      </c>
      <c r="M815" s="3">
        <v>170449.31</v>
      </c>
      <c r="N815" s="3">
        <v>74400.289999999994</v>
      </c>
      <c r="O815" s="4">
        <v>30.39</v>
      </c>
      <c r="P815" s="2" t="s">
        <v>29</v>
      </c>
    </row>
    <row r="816" spans="1:16" x14ac:dyDescent="0.3">
      <c r="A816" s="5">
        <v>1735</v>
      </c>
      <c r="B816" s="5" t="s">
        <v>30</v>
      </c>
      <c r="C816" s="5" t="s">
        <v>31</v>
      </c>
      <c r="D816" s="5" t="s">
        <v>18</v>
      </c>
      <c r="E816" s="5" t="s">
        <v>19</v>
      </c>
      <c r="F816" s="5" t="s">
        <v>37</v>
      </c>
      <c r="G816" s="5" t="s">
        <v>67</v>
      </c>
      <c r="H816" s="5">
        <v>73</v>
      </c>
      <c r="I816" s="6">
        <v>1814</v>
      </c>
      <c r="J816" s="6">
        <v>132422</v>
      </c>
      <c r="K816" s="5">
        <v>5</v>
      </c>
      <c r="L816" s="6">
        <v>125800.9</v>
      </c>
      <c r="M816" s="6">
        <v>69656.7</v>
      </c>
      <c r="N816" s="6">
        <v>56144.2</v>
      </c>
      <c r="O816" s="7">
        <v>44.63</v>
      </c>
      <c r="P816" s="5" t="s">
        <v>41</v>
      </c>
    </row>
    <row r="817" spans="1:16" x14ac:dyDescent="0.3">
      <c r="A817" s="2">
        <v>1341</v>
      </c>
      <c r="B817" s="2" t="s">
        <v>57</v>
      </c>
      <c r="C817" s="2" t="s">
        <v>58</v>
      </c>
      <c r="D817" s="2" t="s">
        <v>56</v>
      </c>
      <c r="E817" s="2" t="s">
        <v>19</v>
      </c>
      <c r="F817" s="2" t="s">
        <v>20</v>
      </c>
      <c r="G817" s="2" t="s">
        <v>64</v>
      </c>
      <c r="H817" s="2">
        <v>39</v>
      </c>
      <c r="I817" s="3">
        <v>220</v>
      </c>
      <c r="J817" s="3">
        <v>8580</v>
      </c>
      <c r="K817" s="2">
        <v>5</v>
      </c>
      <c r="L817" s="3">
        <v>8151</v>
      </c>
      <c r="M817" s="3">
        <v>5208.97</v>
      </c>
      <c r="N817" s="3">
        <v>2942.03</v>
      </c>
      <c r="O817" s="4">
        <v>36.090000000000003</v>
      </c>
      <c r="P817" s="2" t="s">
        <v>39</v>
      </c>
    </row>
    <row r="818" spans="1:16" x14ac:dyDescent="0.3">
      <c r="A818" s="5">
        <v>1423</v>
      </c>
      <c r="B818" s="5" t="s">
        <v>54</v>
      </c>
      <c r="C818" s="5" t="s">
        <v>55</v>
      </c>
      <c r="D818" s="5" t="s">
        <v>56</v>
      </c>
      <c r="E818" s="5" t="s">
        <v>26</v>
      </c>
      <c r="F818" s="5" t="s">
        <v>48</v>
      </c>
      <c r="G818" s="5" t="s">
        <v>49</v>
      </c>
      <c r="H818" s="5">
        <v>39</v>
      </c>
      <c r="I818" s="6">
        <v>735</v>
      </c>
      <c r="J818" s="6">
        <v>28665</v>
      </c>
      <c r="K818" s="5">
        <v>0</v>
      </c>
      <c r="L818" s="6">
        <v>28665</v>
      </c>
      <c r="M818" s="6">
        <v>16801.86</v>
      </c>
      <c r="N818" s="6">
        <v>11863.14</v>
      </c>
      <c r="O818" s="7">
        <v>41.39</v>
      </c>
      <c r="P818" s="5" t="s">
        <v>50</v>
      </c>
    </row>
    <row r="819" spans="1:16" x14ac:dyDescent="0.3">
      <c r="A819" s="2">
        <v>1936</v>
      </c>
      <c r="B819" s="2" t="s">
        <v>34</v>
      </c>
      <c r="C819" s="2" t="s">
        <v>35</v>
      </c>
      <c r="D819" s="2" t="s">
        <v>36</v>
      </c>
      <c r="E819" s="2" t="s">
        <v>19</v>
      </c>
      <c r="F819" s="2" t="s">
        <v>32</v>
      </c>
      <c r="G819" s="2" t="s">
        <v>40</v>
      </c>
      <c r="H819" s="2">
        <v>78</v>
      </c>
      <c r="I819" s="3">
        <v>19462</v>
      </c>
      <c r="J819" s="3">
        <v>1518036</v>
      </c>
      <c r="K819" s="2">
        <v>0</v>
      </c>
      <c r="L819" s="3">
        <v>1518036</v>
      </c>
      <c r="M819" s="3">
        <v>893088.59</v>
      </c>
      <c r="N819" s="3">
        <v>624947.41</v>
      </c>
      <c r="O819" s="4">
        <v>41.17</v>
      </c>
      <c r="P819" s="2" t="s">
        <v>43</v>
      </c>
    </row>
    <row r="820" spans="1:16" x14ac:dyDescent="0.3">
      <c r="A820" s="5">
        <v>1483</v>
      </c>
      <c r="B820" s="5" t="s">
        <v>54</v>
      </c>
      <c r="C820" s="5" t="s">
        <v>55</v>
      </c>
      <c r="D820" s="5" t="s">
        <v>56</v>
      </c>
      <c r="E820" s="5" t="s">
        <v>44</v>
      </c>
      <c r="F820" s="5" t="s">
        <v>37</v>
      </c>
      <c r="G820" s="5" t="s">
        <v>38</v>
      </c>
      <c r="H820" s="5">
        <v>77</v>
      </c>
      <c r="I820" s="6">
        <v>2136</v>
      </c>
      <c r="J820" s="6">
        <v>164472</v>
      </c>
      <c r="K820" s="5">
        <v>20</v>
      </c>
      <c r="L820" s="6">
        <v>131577.60000000001</v>
      </c>
      <c r="M820" s="6">
        <v>75668.7</v>
      </c>
      <c r="N820" s="6">
        <v>55908.9</v>
      </c>
      <c r="O820" s="7">
        <v>42.49</v>
      </c>
      <c r="P820" s="5" t="s">
        <v>43</v>
      </c>
    </row>
    <row r="821" spans="1:16" x14ac:dyDescent="0.3">
      <c r="A821" s="2">
        <v>1504</v>
      </c>
      <c r="B821" s="2" t="s">
        <v>73</v>
      </c>
      <c r="C821" s="2" t="s">
        <v>74</v>
      </c>
      <c r="D821" s="2" t="s">
        <v>56</v>
      </c>
      <c r="E821" s="2" t="s">
        <v>26</v>
      </c>
      <c r="F821" s="2" t="s">
        <v>27</v>
      </c>
      <c r="G821" s="2" t="s">
        <v>66</v>
      </c>
      <c r="H821" s="2">
        <v>93</v>
      </c>
      <c r="I821" s="3">
        <v>720</v>
      </c>
      <c r="J821" s="3">
        <v>66960</v>
      </c>
      <c r="K821" s="2">
        <v>15</v>
      </c>
      <c r="L821" s="3">
        <v>56916</v>
      </c>
      <c r="M821" s="3">
        <v>33031.07</v>
      </c>
      <c r="N821" s="3">
        <v>23884.93</v>
      </c>
      <c r="O821" s="4">
        <v>41.97</v>
      </c>
      <c r="P821" s="2" t="s">
        <v>61</v>
      </c>
    </row>
    <row r="822" spans="1:16" x14ac:dyDescent="0.3">
      <c r="A822" s="5">
        <v>1799</v>
      </c>
      <c r="B822" s="5" t="s">
        <v>30</v>
      </c>
      <c r="C822" s="5" t="s">
        <v>31</v>
      </c>
      <c r="D822" s="5" t="s">
        <v>18</v>
      </c>
      <c r="E822" s="5" t="s">
        <v>44</v>
      </c>
      <c r="F822" s="5" t="s">
        <v>48</v>
      </c>
      <c r="G822" s="5" t="s">
        <v>51</v>
      </c>
      <c r="H822" s="5">
        <v>58</v>
      </c>
      <c r="I822" s="6">
        <v>1923</v>
      </c>
      <c r="J822" s="6">
        <v>111534</v>
      </c>
      <c r="K822" s="5">
        <v>10</v>
      </c>
      <c r="L822" s="6">
        <v>100380.6</v>
      </c>
      <c r="M822" s="6">
        <v>66866.45</v>
      </c>
      <c r="N822" s="6">
        <v>33514.15</v>
      </c>
      <c r="O822" s="7">
        <v>33.39</v>
      </c>
      <c r="P822" s="5" t="s">
        <v>22</v>
      </c>
    </row>
    <row r="823" spans="1:16" x14ac:dyDescent="0.3">
      <c r="A823" s="2">
        <v>1864</v>
      </c>
      <c r="B823" s="2" t="s">
        <v>70</v>
      </c>
      <c r="C823" s="2" t="s">
        <v>71</v>
      </c>
      <c r="D823" s="2" t="s">
        <v>18</v>
      </c>
      <c r="E823" s="2" t="s">
        <v>42</v>
      </c>
      <c r="F823" s="2" t="s">
        <v>32</v>
      </c>
      <c r="G823" s="2" t="s">
        <v>33</v>
      </c>
      <c r="H823" s="2">
        <v>124</v>
      </c>
      <c r="I823" s="3">
        <v>10292</v>
      </c>
      <c r="J823" s="3">
        <v>1276208</v>
      </c>
      <c r="K823" s="2">
        <v>15</v>
      </c>
      <c r="L823" s="3">
        <v>1084776.8</v>
      </c>
      <c r="M823" s="3">
        <v>632521.27</v>
      </c>
      <c r="N823" s="3">
        <v>452255.53</v>
      </c>
      <c r="O823" s="4">
        <v>41.69</v>
      </c>
      <c r="P823" s="2" t="s">
        <v>29</v>
      </c>
    </row>
    <row r="824" spans="1:16" x14ac:dyDescent="0.3">
      <c r="A824" s="5">
        <v>1083</v>
      </c>
      <c r="B824" s="5" t="s">
        <v>62</v>
      </c>
      <c r="C824" s="5" t="s">
        <v>63</v>
      </c>
      <c r="D824" s="5" t="s">
        <v>25</v>
      </c>
      <c r="E824" s="5" t="s">
        <v>44</v>
      </c>
      <c r="F824" s="5" t="s">
        <v>37</v>
      </c>
      <c r="G824" s="5" t="s">
        <v>38</v>
      </c>
      <c r="H824" s="5">
        <v>41</v>
      </c>
      <c r="I824" s="6">
        <v>1990</v>
      </c>
      <c r="J824" s="6">
        <v>81590</v>
      </c>
      <c r="K824" s="5">
        <v>0</v>
      </c>
      <c r="L824" s="6">
        <v>81590</v>
      </c>
      <c r="M824" s="6">
        <v>50448.11</v>
      </c>
      <c r="N824" s="6">
        <v>31141.89</v>
      </c>
      <c r="O824" s="7">
        <v>38.17</v>
      </c>
      <c r="P824" s="5" t="s">
        <v>45</v>
      </c>
    </row>
    <row r="825" spans="1:16" x14ac:dyDescent="0.3">
      <c r="A825" s="2">
        <v>1281</v>
      </c>
      <c r="B825" s="2" t="s">
        <v>52</v>
      </c>
      <c r="C825" s="2" t="s">
        <v>53</v>
      </c>
      <c r="D825" s="2" t="s">
        <v>25</v>
      </c>
      <c r="E825" s="2" t="s">
        <v>44</v>
      </c>
      <c r="F825" s="2" t="s">
        <v>37</v>
      </c>
      <c r="G825" s="2" t="s">
        <v>59</v>
      </c>
      <c r="H825" s="2">
        <v>89</v>
      </c>
      <c r="I825" s="3">
        <v>474</v>
      </c>
      <c r="J825" s="3">
        <v>42186</v>
      </c>
      <c r="K825" s="2">
        <v>15</v>
      </c>
      <c r="L825" s="3">
        <v>35858.1</v>
      </c>
      <c r="M825" s="3">
        <v>20729.46</v>
      </c>
      <c r="N825" s="3">
        <v>15128.64</v>
      </c>
      <c r="O825" s="4">
        <v>42.19</v>
      </c>
      <c r="P825" s="2" t="s">
        <v>29</v>
      </c>
    </row>
    <row r="826" spans="1:16" x14ac:dyDescent="0.3">
      <c r="A826" s="5">
        <v>1035</v>
      </c>
      <c r="B826" s="5" t="s">
        <v>62</v>
      </c>
      <c r="C826" s="5" t="s">
        <v>63</v>
      </c>
      <c r="D826" s="5" t="s">
        <v>25</v>
      </c>
      <c r="E826" s="5" t="s">
        <v>19</v>
      </c>
      <c r="F826" s="5" t="s">
        <v>37</v>
      </c>
      <c r="G826" s="5" t="s">
        <v>67</v>
      </c>
      <c r="H826" s="5">
        <v>36</v>
      </c>
      <c r="I826" s="6">
        <v>1668</v>
      </c>
      <c r="J826" s="6">
        <v>60048</v>
      </c>
      <c r="K826" s="5">
        <v>20</v>
      </c>
      <c r="L826" s="6">
        <v>48038.400000000001</v>
      </c>
      <c r="M826" s="6">
        <v>28172.1</v>
      </c>
      <c r="N826" s="6">
        <v>19866.3</v>
      </c>
      <c r="O826" s="7">
        <v>41.36</v>
      </c>
      <c r="P826" s="5" t="s">
        <v>39</v>
      </c>
    </row>
    <row r="827" spans="1:16" x14ac:dyDescent="0.3">
      <c r="A827" s="2">
        <v>2151</v>
      </c>
      <c r="B827" s="2" t="s">
        <v>46</v>
      </c>
      <c r="C827" s="2" t="s">
        <v>47</v>
      </c>
      <c r="D827" s="2" t="s">
        <v>36</v>
      </c>
      <c r="E827" s="2" t="s">
        <v>42</v>
      </c>
      <c r="F827" s="2" t="s">
        <v>27</v>
      </c>
      <c r="G827" s="2" t="s">
        <v>85</v>
      </c>
      <c r="H827" s="2">
        <v>138</v>
      </c>
      <c r="I827" s="3">
        <v>12305</v>
      </c>
      <c r="J827" s="3">
        <v>1698090</v>
      </c>
      <c r="K827" s="2">
        <v>5</v>
      </c>
      <c r="L827" s="3">
        <v>1613185.5</v>
      </c>
      <c r="M827" s="3">
        <v>988044.66</v>
      </c>
      <c r="N827" s="3">
        <v>625140.84</v>
      </c>
      <c r="O827" s="4">
        <v>38.75</v>
      </c>
      <c r="P827" s="2" t="s">
        <v>61</v>
      </c>
    </row>
    <row r="828" spans="1:16" x14ac:dyDescent="0.3">
      <c r="A828" s="5">
        <v>2145</v>
      </c>
      <c r="B828" s="5" t="s">
        <v>46</v>
      </c>
      <c r="C828" s="5" t="s">
        <v>47</v>
      </c>
      <c r="D828" s="5" t="s">
        <v>36</v>
      </c>
      <c r="E828" s="5" t="s">
        <v>19</v>
      </c>
      <c r="F828" s="5" t="s">
        <v>20</v>
      </c>
      <c r="G828" s="5" t="s">
        <v>60</v>
      </c>
      <c r="H828" s="5">
        <v>168</v>
      </c>
      <c r="I828" s="6">
        <v>95</v>
      </c>
      <c r="J828" s="6">
        <v>15960</v>
      </c>
      <c r="K828" s="5">
        <v>10</v>
      </c>
      <c r="L828" s="6">
        <v>14364</v>
      </c>
      <c r="M828" s="6">
        <v>8660.15</v>
      </c>
      <c r="N828" s="6">
        <v>5703.85</v>
      </c>
      <c r="O828" s="7">
        <v>39.71</v>
      </c>
      <c r="P828" s="5" t="s">
        <v>50</v>
      </c>
    </row>
    <row r="829" spans="1:16" x14ac:dyDescent="0.3">
      <c r="A829" s="5">
        <v>2168</v>
      </c>
      <c r="B829" s="5" t="s">
        <v>46</v>
      </c>
      <c r="C829" s="5" t="s">
        <v>47</v>
      </c>
      <c r="D829" s="5" t="s">
        <v>36</v>
      </c>
      <c r="E829" s="5" t="s">
        <v>42</v>
      </c>
      <c r="F829" s="5" t="s">
        <v>20</v>
      </c>
      <c r="G829" s="5" t="s">
        <v>21</v>
      </c>
      <c r="H829" s="5">
        <v>150</v>
      </c>
      <c r="I829" s="6">
        <v>113</v>
      </c>
      <c r="J829" s="6">
        <v>16950</v>
      </c>
      <c r="K829" s="5">
        <v>5</v>
      </c>
      <c r="L829" s="6">
        <v>16102.5</v>
      </c>
      <c r="M829" s="6">
        <v>9329.1</v>
      </c>
      <c r="N829" s="6">
        <v>6773.4</v>
      </c>
      <c r="O829" s="7">
        <v>42.06</v>
      </c>
      <c r="P829" s="5" t="s">
        <v>29</v>
      </c>
    </row>
    <row r="830" spans="1:16" x14ac:dyDescent="0.3">
      <c r="A830" s="2">
        <v>1876</v>
      </c>
      <c r="B830" s="2" t="s">
        <v>70</v>
      </c>
      <c r="C830" s="2" t="s">
        <v>71</v>
      </c>
      <c r="D830" s="2" t="s">
        <v>18</v>
      </c>
      <c r="E830" s="2" t="s">
        <v>44</v>
      </c>
      <c r="F830" s="2" t="s">
        <v>27</v>
      </c>
      <c r="G830" s="2" t="s">
        <v>85</v>
      </c>
      <c r="H830" s="2">
        <v>54</v>
      </c>
      <c r="I830" s="3">
        <v>13187</v>
      </c>
      <c r="J830" s="3">
        <v>712098</v>
      </c>
      <c r="K830" s="2">
        <v>5</v>
      </c>
      <c r="L830" s="3">
        <v>676493.1</v>
      </c>
      <c r="M830" s="3">
        <v>418833.91999999998</v>
      </c>
      <c r="N830" s="3">
        <v>257659.18</v>
      </c>
      <c r="O830" s="4">
        <v>38.090000000000003</v>
      </c>
      <c r="P830" s="2" t="s">
        <v>29</v>
      </c>
    </row>
    <row r="831" spans="1:16" x14ac:dyDescent="0.3">
      <c r="A831" s="5">
        <v>1912</v>
      </c>
      <c r="B831" s="5" t="s">
        <v>34</v>
      </c>
      <c r="C831" s="5" t="s">
        <v>35</v>
      </c>
      <c r="D831" s="5" t="s">
        <v>36</v>
      </c>
      <c r="E831" s="5" t="s">
        <v>26</v>
      </c>
      <c r="F831" s="5" t="s">
        <v>32</v>
      </c>
      <c r="G831" s="5" t="s">
        <v>75</v>
      </c>
      <c r="H831" s="5">
        <v>63</v>
      </c>
      <c r="I831" s="6">
        <v>11556</v>
      </c>
      <c r="J831" s="6">
        <v>728028</v>
      </c>
      <c r="K831" s="5">
        <v>5</v>
      </c>
      <c r="L831" s="6">
        <v>691626.6</v>
      </c>
      <c r="M831" s="6">
        <v>475746.98</v>
      </c>
      <c r="N831" s="6">
        <v>215879.62</v>
      </c>
      <c r="O831" s="7">
        <v>31.21</v>
      </c>
      <c r="P831" s="5" t="s">
        <v>61</v>
      </c>
    </row>
    <row r="832" spans="1:16" x14ac:dyDescent="0.3">
      <c r="A832" s="2">
        <v>1647</v>
      </c>
      <c r="B832" s="2" t="s">
        <v>16</v>
      </c>
      <c r="C832" s="2" t="s">
        <v>17</v>
      </c>
      <c r="D832" s="2" t="s">
        <v>18</v>
      </c>
      <c r="E832" s="2" t="s">
        <v>19</v>
      </c>
      <c r="F832" s="2" t="s">
        <v>48</v>
      </c>
      <c r="G832" s="2" t="s">
        <v>78</v>
      </c>
      <c r="H832" s="2">
        <v>93</v>
      </c>
      <c r="I832" s="3">
        <v>641</v>
      </c>
      <c r="J832" s="3">
        <v>59613</v>
      </c>
      <c r="K832" s="2">
        <v>0</v>
      </c>
      <c r="L832" s="3">
        <v>59613</v>
      </c>
      <c r="M832" s="3">
        <v>35414.15</v>
      </c>
      <c r="N832" s="3">
        <v>24198.85</v>
      </c>
      <c r="O832" s="4">
        <v>40.590000000000003</v>
      </c>
      <c r="P832" s="2" t="s">
        <v>39</v>
      </c>
    </row>
    <row r="833" spans="1:16" x14ac:dyDescent="0.3">
      <c r="A833" s="5">
        <v>1450</v>
      </c>
      <c r="B833" s="5" t="s">
        <v>54</v>
      </c>
      <c r="C833" s="5" t="s">
        <v>55</v>
      </c>
      <c r="D833" s="5" t="s">
        <v>56</v>
      </c>
      <c r="E833" s="5" t="s">
        <v>19</v>
      </c>
      <c r="F833" s="5" t="s">
        <v>48</v>
      </c>
      <c r="G833" s="5" t="s">
        <v>72</v>
      </c>
      <c r="H833" s="5">
        <v>77</v>
      </c>
      <c r="I833" s="6">
        <v>3451</v>
      </c>
      <c r="J833" s="6">
        <v>265727</v>
      </c>
      <c r="K833" s="5">
        <v>0</v>
      </c>
      <c r="L833" s="6">
        <v>265727</v>
      </c>
      <c r="M833" s="6">
        <v>158124.92000000001</v>
      </c>
      <c r="N833" s="6">
        <v>107602.08</v>
      </c>
      <c r="O833" s="7">
        <v>40.49</v>
      </c>
      <c r="P833" s="5" t="s">
        <v>45</v>
      </c>
    </row>
    <row r="834" spans="1:16" x14ac:dyDescent="0.3">
      <c r="A834" s="2">
        <v>1165</v>
      </c>
      <c r="B834" s="2" t="s">
        <v>23</v>
      </c>
      <c r="C834" s="2" t="s">
        <v>24</v>
      </c>
      <c r="D834" s="2" t="s">
        <v>25</v>
      </c>
      <c r="E834" s="2" t="s">
        <v>42</v>
      </c>
      <c r="F834" s="2" t="s">
        <v>32</v>
      </c>
      <c r="G834" s="2" t="s">
        <v>65</v>
      </c>
      <c r="H834" s="2">
        <v>29</v>
      </c>
      <c r="I834" s="3">
        <v>5410</v>
      </c>
      <c r="J834" s="3">
        <v>156890</v>
      </c>
      <c r="K834" s="2">
        <v>0</v>
      </c>
      <c r="L834" s="3">
        <v>156890</v>
      </c>
      <c r="M834" s="3">
        <v>103291.13</v>
      </c>
      <c r="N834" s="3">
        <v>53598.87</v>
      </c>
      <c r="O834" s="4">
        <v>34.159999999999997</v>
      </c>
      <c r="P834" s="2" t="s">
        <v>22</v>
      </c>
    </row>
    <row r="835" spans="1:16" x14ac:dyDescent="0.3">
      <c r="A835" s="2">
        <v>1305</v>
      </c>
      <c r="B835" s="2" t="s">
        <v>57</v>
      </c>
      <c r="C835" s="2" t="s">
        <v>58</v>
      </c>
      <c r="D835" s="2" t="s">
        <v>56</v>
      </c>
      <c r="E835" s="2" t="s">
        <v>26</v>
      </c>
      <c r="F835" s="2" t="s">
        <v>27</v>
      </c>
      <c r="G835" s="2" t="s">
        <v>84</v>
      </c>
      <c r="H835" s="2">
        <v>152</v>
      </c>
      <c r="I835" s="3">
        <v>13853</v>
      </c>
      <c r="J835" s="3">
        <v>2105656</v>
      </c>
      <c r="K835" s="2">
        <v>5</v>
      </c>
      <c r="L835" s="3">
        <v>2000373.2</v>
      </c>
      <c r="M835" s="3">
        <v>1311456.02</v>
      </c>
      <c r="N835" s="3">
        <v>688917.18</v>
      </c>
      <c r="O835" s="4">
        <v>34.44</v>
      </c>
      <c r="P835" s="2" t="s">
        <v>45</v>
      </c>
    </row>
    <row r="836" spans="1:16" x14ac:dyDescent="0.3">
      <c r="A836" s="5">
        <v>1931</v>
      </c>
      <c r="B836" s="5" t="s">
        <v>34</v>
      </c>
      <c r="C836" s="5" t="s">
        <v>35</v>
      </c>
      <c r="D836" s="5" t="s">
        <v>36</v>
      </c>
      <c r="E836" s="5" t="s">
        <v>19</v>
      </c>
      <c r="F836" s="5" t="s">
        <v>37</v>
      </c>
      <c r="G836" s="5" t="s">
        <v>59</v>
      </c>
      <c r="H836" s="5">
        <v>45</v>
      </c>
      <c r="I836" s="6">
        <v>523</v>
      </c>
      <c r="J836" s="6">
        <v>23535</v>
      </c>
      <c r="K836" s="5">
        <v>0</v>
      </c>
      <c r="L836" s="6">
        <v>23535</v>
      </c>
      <c r="M836" s="6">
        <v>13340.95</v>
      </c>
      <c r="N836" s="6">
        <v>10194.049999999999</v>
      </c>
      <c r="O836" s="7">
        <v>43.31</v>
      </c>
      <c r="P836" s="5" t="s">
        <v>43</v>
      </c>
    </row>
    <row r="837" spans="1:16" x14ac:dyDescent="0.3">
      <c r="A837" s="2">
        <v>1775</v>
      </c>
      <c r="B837" s="2" t="s">
        <v>30</v>
      </c>
      <c r="C837" s="2" t="s">
        <v>31</v>
      </c>
      <c r="D837" s="2" t="s">
        <v>18</v>
      </c>
      <c r="E837" s="2" t="s">
        <v>42</v>
      </c>
      <c r="F837" s="2" t="s">
        <v>48</v>
      </c>
      <c r="G837" s="2" t="s">
        <v>72</v>
      </c>
      <c r="H837" s="2">
        <v>96</v>
      </c>
      <c r="I837" s="3">
        <v>3487</v>
      </c>
      <c r="J837" s="3">
        <v>334752</v>
      </c>
      <c r="K837" s="2">
        <v>0</v>
      </c>
      <c r="L837" s="3">
        <v>334752</v>
      </c>
      <c r="M837" s="3">
        <v>209312.24</v>
      </c>
      <c r="N837" s="3">
        <v>125439.76</v>
      </c>
      <c r="O837" s="4">
        <v>37.47</v>
      </c>
      <c r="P837" s="2" t="s">
        <v>61</v>
      </c>
    </row>
    <row r="838" spans="1:16" x14ac:dyDescent="0.3">
      <c r="A838" s="5">
        <v>1843</v>
      </c>
      <c r="B838" s="5" t="s">
        <v>70</v>
      </c>
      <c r="C838" s="5" t="s">
        <v>71</v>
      </c>
      <c r="D838" s="5" t="s">
        <v>18</v>
      </c>
      <c r="E838" s="5" t="s">
        <v>19</v>
      </c>
      <c r="F838" s="5" t="s">
        <v>20</v>
      </c>
      <c r="G838" s="5" t="s">
        <v>21</v>
      </c>
      <c r="H838" s="5">
        <v>135</v>
      </c>
      <c r="I838" s="6">
        <v>117</v>
      </c>
      <c r="J838" s="6">
        <v>15795</v>
      </c>
      <c r="K838" s="5">
        <v>5</v>
      </c>
      <c r="L838" s="6">
        <v>15005.25</v>
      </c>
      <c r="M838" s="6">
        <v>9296.69</v>
      </c>
      <c r="N838" s="6">
        <v>5708.56</v>
      </c>
      <c r="O838" s="7">
        <v>38.04</v>
      </c>
      <c r="P838" s="5" t="s">
        <v>61</v>
      </c>
    </row>
    <row r="839" spans="1:16" x14ac:dyDescent="0.3">
      <c r="A839" s="2">
        <v>1946</v>
      </c>
      <c r="B839" s="2" t="s">
        <v>34</v>
      </c>
      <c r="C839" s="2" t="s">
        <v>35</v>
      </c>
      <c r="D839" s="2" t="s">
        <v>36</v>
      </c>
      <c r="E839" s="2" t="s">
        <v>19</v>
      </c>
      <c r="F839" s="2" t="s">
        <v>48</v>
      </c>
      <c r="G839" s="2" t="s">
        <v>69</v>
      </c>
      <c r="H839" s="2">
        <v>56</v>
      </c>
      <c r="I839" s="3">
        <v>1162</v>
      </c>
      <c r="J839" s="3">
        <v>65072</v>
      </c>
      <c r="K839" s="2">
        <v>15</v>
      </c>
      <c r="L839" s="3">
        <v>55311.199999999997</v>
      </c>
      <c r="M839" s="3">
        <v>35871.51</v>
      </c>
      <c r="N839" s="3">
        <v>19439.689999999999</v>
      </c>
      <c r="O839" s="4">
        <v>35.15</v>
      </c>
      <c r="P839" s="2" t="s">
        <v>29</v>
      </c>
    </row>
    <row r="840" spans="1:16" x14ac:dyDescent="0.3">
      <c r="A840" s="5">
        <v>2036</v>
      </c>
      <c r="B840" s="5" t="s">
        <v>76</v>
      </c>
      <c r="C840" s="5" t="s">
        <v>77</v>
      </c>
      <c r="D840" s="5" t="s">
        <v>36</v>
      </c>
      <c r="E840" s="5" t="s">
        <v>19</v>
      </c>
      <c r="F840" s="5" t="s">
        <v>32</v>
      </c>
      <c r="G840" s="5" t="s">
        <v>40</v>
      </c>
      <c r="H840" s="5">
        <v>78</v>
      </c>
      <c r="I840" s="6">
        <v>19060</v>
      </c>
      <c r="J840" s="6">
        <v>1486680</v>
      </c>
      <c r="K840" s="5">
        <v>5</v>
      </c>
      <c r="L840" s="6">
        <v>1412346</v>
      </c>
      <c r="M840" s="6">
        <v>971376.61</v>
      </c>
      <c r="N840" s="6">
        <v>440969.39</v>
      </c>
      <c r="O840" s="7">
        <v>31.22</v>
      </c>
      <c r="P840" s="5" t="s">
        <v>22</v>
      </c>
    </row>
    <row r="841" spans="1:16" x14ac:dyDescent="0.3">
      <c r="A841" s="2">
        <v>1262</v>
      </c>
      <c r="B841" s="2" t="s">
        <v>52</v>
      </c>
      <c r="C841" s="2" t="s">
        <v>53</v>
      </c>
      <c r="D841" s="2" t="s">
        <v>25</v>
      </c>
      <c r="E841" s="2" t="s">
        <v>42</v>
      </c>
      <c r="F841" s="2" t="s">
        <v>32</v>
      </c>
      <c r="G841" s="2" t="s">
        <v>75</v>
      </c>
      <c r="H841" s="2">
        <v>100</v>
      </c>
      <c r="I841" s="3">
        <v>12903</v>
      </c>
      <c r="J841" s="3">
        <v>1290300</v>
      </c>
      <c r="K841" s="2">
        <v>0</v>
      </c>
      <c r="L841" s="3">
        <v>1290300</v>
      </c>
      <c r="M841" s="3">
        <v>825259.06</v>
      </c>
      <c r="N841" s="3">
        <v>465040.94</v>
      </c>
      <c r="O841" s="4">
        <v>36.04</v>
      </c>
      <c r="P841" s="2" t="s">
        <v>61</v>
      </c>
    </row>
    <row r="842" spans="1:16" x14ac:dyDescent="0.3">
      <c r="A842" s="5">
        <v>1403</v>
      </c>
      <c r="B842" s="5" t="s">
        <v>54</v>
      </c>
      <c r="C842" s="5" t="s">
        <v>55</v>
      </c>
      <c r="D842" s="5" t="s">
        <v>56</v>
      </c>
      <c r="E842" s="5" t="s">
        <v>26</v>
      </c>
      <c r="F842" s="5" t="s">
        <v>27</v>
      </c>
      <c r="G842" s="5" t="s">
        <v>83</v>
      </c>
      <c r="H842" s="5">
        <v>151</v>
      </c>
      <c r="I842" s="6">
        <v>4644</v>
      </c>
      <c r="J842" s="6">
        <v>701244</v>
      </c>
      <c r="K842" s="5">
        <v>20</v>
      </c>
      <c r="L842" s="6">
        <v>560995.19999999995</v>
      </c>
      <c r="M842" s="6">
        <v>385522.17</v>
      </c>
      <c r="N842" s="6">
        <v>175473.03</v>
      </c>
      <c r="O842" s="7">
        <v>31.28</v>
      </c>
      <c r="P842" s="5" t="s">
        <v>22</v>
      </c>
    </row>
    <row r="843" spans="1:16" x14ac:dyDescent="0.3">
      <c r="A843" s="2">
        <v>1009</v>
      </c>
      <c r="B843" s="2" t="s">
        <v>62</v>
      </c>
      <c r="C843" s="2" t="s">
        <v>63</v>
      </c>
      <c r="D843" s="2" t="s">
        <v>25</v>
      </c>
      <c r="E843" s="2" t="s">
        <v>26</v>
      </c>
      <c r="F843" s="2" t="s">
        <v>37</v>
      </c>
      <c r="G843" s="2" t="s">
        <v>82</v>
      </c>
      <c r="H843" s="2">
        <v>22</v>
      </c>
      <c r="I843" s="3">
        <v>1418</v>
      </c>
      <c r="J843" s="3">
        <v>31196</v>
      </c>
      <c r="K843" s="2">
        <v>5</v>
      </c>
      <c r="L843" s="3">
        <v>29636.2</v>
      </c>
      <c r="M843" s="3">
        <v>20679.64</v>
      </c>
      <c r="N843" s="3">
        <v>8956.56</v>
      </c>
      <c r="O843" s="4">
        <v>30.22</v>
      </c>
      <c r="P843" s="2" t="s">
        <v>45</v>
      </c>
    </row>
    <row r="844" spans="1:16" x14ac:dyDescent="0.3">
      <c r="A844" s="5">
        <v>1398</v>
      </c>
      <c r="B844" s="5" t="s">
        <v>57</v>
      </c>
      <c r="C844" s="5" t="s">
        <v>58</v>
      </c>
      <c r="D844" s="5" t="s">
        <v>56</v>
      </c>
      <c r="E844" s="5" t="s">
        <v>44</v>
      </c>
      <c r="F844" s="5" t="s">
        <v>48</v>
      </c>
      <c r="G844" s="5" t="s">
        <v>49</v>
      </c>
      <c r="H844" s="5">
        <v>148</v>
      </c>
      <c r="I844" s="6">
        <v>803</v>
      </c>
      <c r="J844" s="6">
        <v>118844</v>
      </c>
      <c r="K844" s="5">
        <v>15</v>
      </c>
      <c r="L844" s="6">
        <v>101017.4</v>
      </c>
      <c r="M844" s="6">
        <v>60112.94</v>
      </c>
      <c r="N844" s="6">
        <v>40904.46</v>
      </c>
      <c r="O844" s="7">
        <v>40.49</v>
      </c>
      <c r="P844" s="5" t="s">
        <v>43</v>
      </c>
    </row>
    <row r="845" spans="1:16" x14ac:dyDescent="0.3">
      <c r="A845" s="2">
        <v>1454</v>
      </c>
      <c r="B845" s="2" t="s">
        <v>54</v>
      </c>
      <c r="C845" s="2" t="s">
        <v>55</v>
      </c>
      <c r="D845" s="2" t="s">
        <v>56</v>
      </c>
      <c r="E845" s="2" t="s">
        <v>42</v>
      </c>
      <c r="F845" s="2" t="s">
        <v>27</v>
      </c>
      <c r="G845" s="2" t="s">
        <v>66</v>
      </c>
      <c r="H845" s="2">
        <v>106</v>
      </c>
      <c r="I845" s="3">
        <v>807</v>
      </c>
      <c r="J845" s="3">
        <v>85542</v>
      </c>
      <c r="K845" s="2">
        <v>0</v>
      </c>
      <c r="L845" s="3">
        <v>85542</v>
      </c>
      <c r="M845" s="3">
        <v>59276.39</v>
      </c>
      <c r="N845" s="3">
        <v>26265.61</v>
      </c>
      <c r="O845" s="4">
        <v>30.7</v>
      </c>
      <c r="P845" s="2" t="s">
        <v>39</v>
      </c>
    </row>
    <row r="846" spans="1:16" x14ac:dyDescent="0.3">
      <c r="A846" s="5">
        <v>1243</v>
      </c>
      <c r="B846" s="5" t="s">
        <v>52</v>
      </c>
      <c r="C846" s="5" t="s">
        <v>53</v>
      </c>
      <c r="D846" s="5" t="s">
        <v>25</v>
      </c>
      <c r="E846" s="5" t="s">
        <v>19</v>
      </c>
      <c r="F846" s="5" t="s">
        <v>20</v>
      </c>
      <c r="G846" s="5" t="s">
        <v>21</v>
      </c>
      <c r="H846" s="5">
        <v>101</v>
      </c>
      <c r="I846" s="6">
        <v>124</v>
      </c>
      <c r="J846" s="6">
        <v>12524</v>
      </c>
      <c r="K846" s="5">
        <v>0</v>
      </c>
      <c r="L846" s="6">
        <v>12524</v>
      </c>
      <c r="M846" s="6">
        <v>8675.2999999999993</v>
      </c>
      <c r="N846" s="6">
        <v>3848.7</v>
      </c>
      <c r="O846" s="7">
        <v>30.73</v>
      </c>
      <c r="P846" s="5" t="s">
        <v>39</v>
      </c>
    </row>
    <row r="847" spans="1:16" x14ac:dyDescent="0.3">
      <c r="A847" s="2">
        <v>1548</v>
      </c>
      <c r="B847" s="2" t="s">
        <v>73</v>
      </c>
      <c r="C847" s="2" t="s">
        <v>74</v>
      </c>
      <c r="D847" s="2" t="s">
        <v>56</v>
      </c>
      <c r="E847" s="2" t="s">
        <v>19</v>
      </c>
      <c r="F847" s="2" t="s">
        <v>48</v>
      </c>
      <c r="G847" s="2" t="s">
        <v>49</v>
      </c>
      <c r="H847" s="2">
        <v>77</v>
      </c>
      <c r="I847" s="3">
        <v>874</v>
      </c>
      <c r="J847" s="3">
        <v>67298</v>
      </c>
      <c r="K847" s="2">
        <v>0</v>
      </c>
      <c r="L847" s="3">
        <v>67298</v>
      </c>
      <c r="M847" s="3">
        <v>44197.82</v>
      </c>
      <c r="N847" s="3">
        <v>23100.18</v>
      </c>
      <c r="O847" s="4">
        <v>34.33</v>
      </c>
      <c r="P847" s="2" t="s">
        <v>29</v>
      </c>
    </row>
    <row r="848" spans="1:16" x14ac:dyDescent="0.3">
      <c r="A848" s="5">
        <v>1125</v>
      </c>
      <c r="B848" s="5" t="s">
        <v>23</v>
      </c>
      <c r="C848" s="5" t="s">
        <v>24</v>
      </c>
      <c r="D848" s="5" t="s">
        <v>25</v>
      </c>
      <c r="E848" s="5" t="s">
        <v>26</v>
      </c>
      <c r="F848" s="5" t="s">
        <v>48</v>
      </c>
      <c r="G848" s="5" t="s">
        <v>72</v>
      </c>
      <c r="H848" s="5">
        <v>52</v>
      </c>
      <c r="I848" s="6">
        <v>3563</v>
      </c>
      <c r="J848" s="6">
        <v>185276</v>
      </c>
      <c r="K848" s="5">
        <v>5</v>
      </c>
      <c r="L848" s="6">
        <v>176012.2</v>
      </c>
      <c r="M848" s="6">
        <v>122693.98</v>
      </c>
      <c r="N848" s="6">
        <v>53318.22</v>
      </c>
      <c r="O848" s="7">
        <v>30.29</v>
      </c>
      <c r="P848" s="5" t="s">
        <v>45</v>
      </c>
    </row>
    <row r="849" spans="1:16" x14ac:dyDescent="0.3">
      <c r="A849" s="2">
        <v>1702</v>
      </c>
      <c r="B849" s="2" t="s">
        <v>30</v>
      </c>
      <c r="C849" s="2" t="s">
        <v>31</v>
      </c>
      <c r="D849" s="2" t="s">
        <v>18</v>
      </c>
      <c r="E849" s="2" t="s">
        <v>26</v>
      </c>
      <c r="F849" s="2" t="s">
        <v>27</v>
      </c>
      <c r="G849" s="2" t="s">
        <v>28</v>
      </c>
      <c r="H849" s="2">
        <v>41</v>
      </c>
      <c r="I849" s="3">
        <v>8177</v>
      </c>
      <c r="J849" s="3">
        <v>335257</v>
      </c>
      <c r="K849" s="2">
        <v>5</v>
      </c>
      <c r="L849" s="3">
        <v>318494.15000000002</v>
      </c>
      <c r="M849" s="3">
        <v>180940.31</v>
      </c>
      <c r="N849" s="3">
        <v>137553.84</v>
      </c>
      <c r="O849" s="4">
        <v>43.19</v>
      </c>
      <c r="P849" s="2" t="s">
        <v>22</v>
      </c>
    </row>
    <row r="850" spans="1:16" x14ac:dyDescent="0.3">
      <c r="A850" s="5">
        <v>1832</v>
      </c>
      <c r="B850" s="5" t="s">
        <v>70</v>
      </c>
      <c r="C850" s="5" t="s">
        <v>71</v>
      </c>
      <c r="D850" s="5" t="s">
        <v>18</v>
      </c>
      <c r="E850" s="5" t="s">
        <v>19</v>
      </c>
      <c r="F850" s="5" t="s">
        <v>37</v>
      </c>
      <c r="G850" s="5" t="s">
        <v>79</v>
      </c>
      <c r="H850" s="5">
        <v>67</v>
      </c>
      <c r="I850" s="6">
        <v>1200</v>
      </c>
      <c r="J850" s="6">
        <v>80400</v>
      </c>
      <c r="K850" s="5">
        <v>5</v>
      </c>
      <c r="L850" s="6">
        <v>76380</v>
      </c>
      <c r="M850" s="6">
        <v>46810.55</v>
      </c>
      <c r="N850" s="6">
        <v>29569.45</v>
      </c>
      <c r="O850" s="7">
        <v>38.71</v>
      </c>
      <c r="P850" s="5" t="s">
        <v>41</v>
      </c>
    </row>
    <row r="851" spans="1:16" x14ac:dyDescent="0.3">
      <c r="A851" s="2">
        <v>1902</v>
      </c>
      <c r="B851" s="2" t="s">
        <v>34</v>
      </c>
      <c r="C851" s="2" t="s">
        <v>35</v>
      </c>
      <c r="D851" s="2" t="s">
        <v>36</v>
      </c>
      <c r="E851" s="2" t="s">
        <v>26</v>
      </c>
      <c r="F851" s="2" t="s">
        <v>27</v>
      </c>
      <c r="G851" s="2" t="s">
        <v>28</v>
      </c>
      <c r="H851" s="2">
        <v>188</v>
      </c>
      <c r="I851" s="3">
        <v>8737</v>
      </c>
      <c r="J851" s="3">
        <v>1642556</v>
      </c>
      <c r="K851" s="2">
        <v>0</v>
      </c>
      <c r="L851" s="3">
        <v>1642556</v>
      </c>
      <c r="M851" s="3">
        <v>928345.99</v>
      </c>
      <c r="N851" s="3">
        <v>714210.01</v>
      </c>
      <c r="O851" s="4">
        <v>43.48</v>
      </c>
      <c r="P851" s="2" t="s">
        <v>45</v>
      </c>
    </row>
    <row r="852" spans="1:16" x14ac:dyDescent="0.3">
      <c r="A852" s="5">
        <v>1718</v>
      </c>
      <c r="B852" s="5" t="s">
        <v>30</v>
      </c>
      <c r="C852" s="5" t="s">
        <v>31</v>
      </c>
      <c r="D852" s="5" t="s">
        <v>18</v>
      </c>
      <c r="E852" s="5" t="s">
        <v>26</v>
      </c>
      <c r="F852" s="5" t="s">
        <v>20</v>
      </c>
      <c r="G852" s="5" t="s">
        <v>21</v>
      </c>
      <c r="H852" s="5">
        <v>47</v>
      </c>
      <c r="I852" s="6">
        <v>109</v>
      </c>
      <c r="J852" s="6">
        <v>5123</v>
      </c>
      <c r="K852" s="5">
        <v>5</v>
      </c>
      <c r="L852" s="6">
        <v>4866.8500000000004</v>
      </c>
      <c r="M852" s="6">
        <v>2825.69</v>
      </c>
      <c r="N852" s="6">
        <v>2041.16</v>
      </c>
      <c r="O852" s="7">
        <v>41.94</v>
      </c>
      <c r="P852" s="5" t="s">
        <v>43</v>
      </c>
    </row>
    <row r="853" spans="1:16" x14ac:dyDescent="0.3">
      <c r="A853" s="2">
        <v>1655</v>
      </c>
      <c r="B853" s="2" t="s">
        <v>16</v>
      </c>
      <c r="C853" s="2" t="s">
        <v>17</v>
      </c>
      <c r="D853" s="2" t="s">
        <v>18</v>
      </c>
      <c r="E853" s="2" t="s">
        <v>42</v>
      </c>
      <c r="F853" s="2" t="s">
        <v>27</v>
      </c>
      <c r="G853" s="2" t="s">
        <v>84</v>
      </c>
      <c r="H853" s="2">
        <v>146</v>
      </c>
      <c r="I853" s="3">
        <v>14963</v>
      </c>
      <c r="J853" s="3">
        <v>2184598</v>
      </c>
      <c r="K853" s="2">
        <v>0</v>
      </c>
      <c r="L853" s="3">
        <v>2184598</v>
      </c>
      <c r="M853" s="3">
        <v>1304231.46</v>
      </c>
      <c r="N853" s="3">
        <v>880366.54</v>
      </c>
      <c r="O853" s="4">
        <v>40.299999999999997</v>
      </c>
      <c r="P853" s="2" t="s">
        <v>43</v>
      </c>
    </row>
    <row r="854" spans="1:16" x14ac:dyDescent="0.3">
      <c r="A854" s="5">
        <v>1317</v>
      </c>
      <c r="B854" s="5" t="s">
        <v>57</v>
      </c>
      <c r="C854" s="5" t="s">
        <v>58</v>
      </c>
      <c r="D854" s="5" t="s">
        <v>56</v>
      </c>
      <c r="E854" s="5" t="s">
        <v>26</v>
      </c>
      <c r="F854" s="5" t="s">
        <v>20</v>
      </c>
      <c r="G854" s="5" t="s">
        <v>80</v>
      </c>
      <c r="H854" s="5">
        <v>142</v>
      </c>
      <c r="I854" s="6">
        <v>76</v>
      </c>
      <c r="J854" s="6">
        <v>10792</v>
      </c>
      <c r="K854" s="5">
        <v>5</v>
      </c>
      <c r="L854" s="6">
        <v>10252.4</v>
      </c>
      <c r="M854" s="6">
        <v>5831.31</v>
      </c>
      <c r="N854" s="6">
        <v>4421.09</v>
      </c>
      <c r="O854" s="7">
        <v>43.12</v>
      </c>
      <c r="P854" s="5" t="s">
        <v>50</v>
      </c>
    </row>
    <row r="855" spans="1:16" x14ac:dyDescent="0.3">
      <c r="A855" s="2">
        <v>1394</v>
      </c>
      <c r="B855" s="2" t="s">
        <v>57</v>
      </c>
      <c r="C855" s="2" t="s">
        <v>58</v>
      </c>
      <c r="D855" s="2" t="s">
        <v>56</v>
      </c>
      <c r="E855" s="2" t="s">
        <v>44</v>
      </c>
      <c r="F855" s="2" t="s">
        <v>20</v>
      </c>
      <c r="G855" s="2" t="s">
        <v>68</v>
      </c>
      <c r="H855" s="2">
        <v>33</v>
      </c>
      <c r="I855" s="3">
        <v>136</v>
      </c>
      <c r="J855" s="3">
        <v>4488</v>
      </c>
      <c r="K855" s="2">
        <v>0</v>
      </c>
      <c r="L855" s="3">
        <v>4488</v>
      </c>
      <c r="M855" s="3">
        <v>2633.16</v>
      </c>
      <c r="N855" s="3">
        <v>1854.84</v>
      </c>
      <c r="O855" s="4">
        <v>41.33</v>
      </c>
      <c r="P855" s="2" t="s">
        <v>43</v>
      </c>
    </row>
    <row r="856" spans="1:16" x14ac:dyDescent="0.3">
      <c r="A856" s="5">
        <v>1566</v>
      </c>
      <c r="B856" s="5" t="s">
        <v>73</v>
      </c>
      <c r="C856" s="5" t="s">
        <v>74</v>
      </c>
      <c r="D856" s="5" t="s">
        <v>56</v>
      </c>
      <c r="E856" s="5" t="s">
        <v>42</v>
      </c>
      <c r="F856" s="5" t="s">
        <v>20</v>
      </c>
      <c r="G856" s="5" t="s">
        <v>64</v>
      </c>
      <c r="H856" s="5">
        <v>146</v>
      </c>
      <c r="I856" s="6">
        <v>196</v>
      </c>
      <c r="J856" s="6">
        <v>28616</v>
      </c>
      <c r="K856" s="5">
        <v>0</v>
      </c>
      <c r="L856" s="6">
        <v>28616</v>
      </c>
      <c r="M856" s="6">
        <v>17381.63</v>
      </c>
      <c r="N856" s="6">
        <v>11234.37</v>
      </c>
      <c r="O856" s="7">
        <v>39.26</v>
      </c>
      <c r="P856" s="5" t="s">
        <v>22</v>
      </c>
    </row>
    <row r="857" spans="1:16" x14ac:dyDescent="0.3">
      <c r="A857" s="2">
        <v>1260</v>
      </c>
      <c r="B857" s="2" t="s">
        <v>52</v>
      </c>
      <c r="C857" s="2" t="s">
        <v>53</v>
      </c>
      <c r="D857" s="2" t="s">
        <v>25</v>
      </c>
      <c r="E857" s="2" t="s">
        <v>42</v>
      </c>
      <c r="F857" s="2" t="s">
        <v>37</v>
      </c>
      <c r="G857" s="2" t="s">
        <v>67</v>
      </c>
      <c r="H857" s="2">
        <v>41</v>
      </c>
      <c r="I857" s="3">
        <v>1697</v>
      </c>
      <c r="J857" s="3">
        <v>69577</v>
      </c>
      <c r="K857" s="2">
        <v>20</v>
      </c>
      <c r="L857" s="3">
        <v>55661.599999999999</v>
      </c>
      <c r="M857" s="3">
        <v>32216.98</v>
      </c>
      <c r="N857" s="3">
        <v>23444.62</v>
      </c>
      <c r="O857" s="4">
        <v>42.12</v>
      </c>
      <c r="P857" s="2" t="s">
        <v>61</v>
      </c>
    </row>
    <row r="858" spans="1:16" x14ac:dyDescent="0.3">
      <c r="A858" s="5">
        <v>1246</v>
      </c>
      <c r="B858" s="5" t="s">
        <v>52</v>
      </c>
      <c r="C858" s="5" t="s">
        <v>53</v>
      </c>
      <c r="D858" s="5" t="s">
        <v>25</v>
      </c>
      <c r="E858" s="5" t="s">
        <v>19</v>
      </c>
      <c r="F858" s="5" t="s">
        <v>48</v>
      </c>
      <c r="G858" s="5" t="s">
        <v>69</v>
      </c>
      <c r="H858" s="5">
        <v>66</v>
      </c>
      <c r="I858" s="6">
        <v>1153</v>
      </c>
      <c r="J858" s="6">
        <v>76098</v>
      </c>
      <c r="K858" s="5">
        <v>5</v>
      </c>
      <c r="L858" s="6">
        <v>72293.100000000006</v>
      </c>
      <c r="M858" s="6">
        <v>46174.54</v>
      </c>
      <c r="N858" s="6">
        <v>26118.560000000001</v>
      </c>
      <c r="O858" s="7">
        <v>36.130000000000003</v>
      </c>
      <c r="P858" s="5" t="s">
        <v>41</v>
      </c>
    </row>
    <row r="859" spans="1:16" x14ac:dyDescent="0.3">
      <c r="A859" s="2">
        <v>1972</v>
      </c>
      <c r="B859" s="2" t="s">
        <v>34</v>
      </c>
      <c r="C859" s="2" t="s">
        <v>35</v>
      </c>
      <c r="D859" s="2" t="s">
        <v>36</v>
      </c>
      <c r="E859" s="2" t="s">
        <v>42</v>
      </c>
      <c r="F859" s="2" t="s">
        <v>48</v>
      </c>
      <c r="G859" s="2" t="s">
        <v>78</v>
      </c>
      <c r="H859" s="2">
        <v>144</v>
      </c>
      <c r="I859" s="3">
        <v>657</v>
      </c>
      <c r="J859" s="3">
        <v>94608</v>
      </c>
      <c r="K859" s="2">
        <v>0</v>
      </c>
      <c r="L859" s="3">
        <v>94608</v>
      </c>
      <c r="M859" s="3">
        <v>57408.3</v>
      </c>
      <c r="N859" s="3">
        <v>37199.699999999997</v>
      </c>
      <c r="O859" s="4">
        <v>39.32</v>
      </c>
      <c r="P859" s="2" t="s">
        <v>22</v>
      </c>
    </row>
    <row r="860" spans="1:16" x14ac:dyDescent="0.3">
      <c r="A860" s="5">
        <v>1808</v>
      </c>
      <c r="B860" s="5" t="s">
        <v>70</v>
      </c>
      <c r="C860" s="5" t="s">
        <v>71</v>
      </c>
      <c r="D860" s="5" t="s">
        <v>18</v>
      </c>
      <c r="E860" s="5" t="s">
        <v>26</v>
      </c>
      <c r="F860" s="5" t="s">
        <v>37</v>
      </c>
      <c r="G860" s="5" t="s">
        <v>38</v>
      </c>
      <c r="H860" s="5">
        <v>115</v>
      </c>
      <c r="I860" s="6">
        <v>2070</v>
      </c>
      <c r="J860" s="6">
        <v>238050</v>
      </c>
      <c r="K860" s="5">
        <v>10</v>
      </c>
      <c r="L860" s="6">
        <v>214245</v>
      </c>
      <c r="M860" s="6">
        <v>125523.68</v>
      </c>
      <c r="N860" s="6">
        <v>88721.32</v>
      </c>
      <c r="O860" s="7">
        <v>41.41</v>
      </c>
      <c r="P860" s="5" t="s">
        <v>43</v>
      </c>
    </row>
    <row r="861" spans="1:16" x14ac:dyDescent="0.3">
      <c r="A861" s="2">
        <v>1708</v>
      </c>
      <c r="B861" s="2" t="s">
        <v>30</v>
      </c>
      <c r="C861" s="2" t="s">
        <v>31</v>
      </c>
      <c r="D861" s="2" t="s">
        <v>18</v>
      </c>
      <c r="E861" s="2" t="s">
        <v>26</v>
      </c>
      <c r="F861" s="2" t="s">
        <v>37</v>
      </c>
      <c r="G861" s="2" t="s">
        <v>38</v>
      </c>
      <c r="H861" s="2">
        <v>139</v>
      </c>
      <c r="I861" s="3">
        <v>1851</v>
      </c>
      <c r="J861" s="3">
        <v>257289</v>
      </c>
      <c r="K861" s="2">
        <v>15</v>
      </c>
      <c r="L861" s="3">
        <v>218695.65</v>
      </c>
      <c r="M861" s="3">
        <v>141852.18</v>
      </c>
      <c r="N861" s="3">
        <v>76843.47</v>
      </c>
      <c r="O861" s="4">
        <v>35.14</v>
      </c>
      <c r="P861" s="2" t="s">
        <v>41</v>
      </c>
    </row>
    <row r="862" spans="1:16" x14ac:dyDescent="0.3">
      <c r="A862" s="5">
        <v>2128</v>
      </c>
      <c r="B862" s="5" t="s">
        <v>46</v>
      </c>
      <c r="C862" s="5" t="s">
        <v>47</v>
      </c>
      <c r="D862" s="5" t="s">
        <v>36</v>
      </c>
      <c r="E862" s="5" t="s">
        <v>19</v>
      </c>
      <c r="F862" s="5" t="s">
        <v>27</v>
      </c>
      <c r="G862" s="5" t="s">
        <v>83</v>
      </c>
      <c r="H862" s="5">
        <v>44</v>
      </c>
      <c r="I862" s="6">
        <v>5357</v>
      </c>
      <c r="J862" s="6">
        <v>235708</v>
      </c>
      <c r="K862" s="5">
        <v>20</v>
      </c>
      <c r="L862" s="6">
        <v>188566.39999999999</v>
      </c>
      <c r="M862" s="6">
        <v>128098.79</v>
      </c>
      <c r="N862" s="6">
        <v>60467.61</v>
      </c>
      <c r="O862" s="7">
        <v>32.07</v>
      </c>
      <c r="P862" s="5" t="s">
        <v>45</v>
      </c>
    </row>
    <row r="863" spans="1:16" x14ac:dyDescent="0.3">
      <c r="A863" s="2">
        <v>1819</v>
      </c>
      <c r="B863" s="2" t="s">
        <v>70</v>
      </c>
      <c r="C863" s="2" t="s">
        <v>71</v>
      </c>
      <c r="D863" s="2" t="s">
        <v>18</v>
      </c>
      <c r="E863" s="2" t="s">
        <v>26</v>
      </c>
      <c r="F863" s="2" t="s">
        <v>20</v>
      </c>
      <c r="G863" s="2" t="s">
        <v>68</v>
      </c>
      <c r="H863" s="2">
        <v>100</v>
      </c>
      <c r="I863" s="3">
        <v>135</v>
      </c>
      <c r="J863" s="3">
        <v>13500</v>
      </c>
      <c r="K863" s="2">
        <v>5</v>
      </c>
      <c r="L863" s="3">
        <v>12825</v>
      </c>
      <c r="M863" s="3">
        <v>7531.34</v>
      </c>
      <c r="N863" s="3">
        <v>5293.66</v>
      </c>
      <c r="O863" s="4">
        <v>41.28</v>
      </c>
      <c r="P863" s="2" t="s">
        <v>29</v>
      </c>
    </row>
    <row r="864" spans="1:16" x14ac:dyDescent="0.3">
      <c r="A864" s="5">
        <v>1679</v>
      </c>
      <c r="B864" s="5" t="s">
        <v>16</v>
      </c>
      <c r="C864" s="5" t="s">
        <v>17</v>
      </c>
      <c r="D864" s="5" t="s">
        <v>18</v>
      </c>
      <c r="E864" s="5" t="s">
        <v>44</v>
      </c>
      <c r="F864" s="5" t="s">
        <v>27</v>
      </c>
      <c r="G864" s="5" t="s">
        <v>66</v>
      </c>
      <c r="H864" s="5">
        <v>76</v>
      </c>
      <c r="I864" s="6">
        <v>828</v>
      </c>
      <c r="J864" s="6">
        <v>62928</v>
      </c>
      <c r="K864" s="5">
        <v>15</v>
      </c>
      <c r="L864" s="6">
        <v>53488.800000000003</v>
      </c>
      <c r="M864" s="6">
        <v>35344.379999999997</v>
      </c>
      <c r="N864" s="6">
        <v>18144.419999999998</v>
      </c>
      <c r="O864" s="7">
        <v>33.92</v>
      </c>
      <c r="P864" s="5" t="s">
        <v>29</v>
      </c>
    </row>
    <row r="865" spans="1:16" x14ac:dyDescent="0.3">
      <c r="A865" s="2">
        <v>1758</v>
      </c>
      <c r="B865" s="2" t="s">
        <v>30</v>
      </c>
      <c r="C865" s="2" t="s">
        <v>31</v>
      </c>
      <c r="D865" s="2" t="s">
        <v>18</v>
      </c>
      <c r="E865" s="2" t="s">
        <v>42</v>
      </c>
      <c r="F865" s="2" t="s">
        <v>37</v>
      </c>
      <c r="G865" s="2" t="s">
        <v>38</v>
      </c>
      <c r="H865" s="2">
        <v>48</v>
      </c>
      <c r="I865" s="3">
        <v>1925</v>
      </c>
      <c r="J865" s="3">
        <v>92400</v>
      </c>
      <c r="K865" s="2">
        <v>5</v>
      </c>
      <c r="L865" s="3">
        <v>87780</v>
      </c>
      <c r="M865" s="3">
        <v>57656.53</v>
      </c>
      <c r="N865" s="3">
        <v>30123.47</v>
      </c>
      <c r="O865" s="4">
        <v>34.32</v>
      </c>
      <c r="P865" s="2" t="s">
        <v>22</v>
      </c>
    </row>
    <row r="866" spans="1:16" x14ac:dyDescent="0.3">
      <c r="A866" s="5">
        <v>1862</v>
      </c>
      <c r="B866" s="5" t="s">
        <v>70</v>
      </c>
      <c r="C866" s="5" t="s">
        <v>71</v>
      </c>
      <c r="D866" s="5" t="s">
        <v>18</v>
      </c>
      <c r="E866" s="5" t="s">
        <v>42</v>
      </c>
      <c r="F866" s="5" t="s">
        <v>32</v>
      </c>
      <c r="G866" s="5" t="s">
        <v>75</v>
      </c>
      <c r="H866" s="5">
        <v>64</v>
      </c>
      <c r="I866" s="6">
        <v>12638</v>
      </c>
      <c r="J866" s="6">
        <v>808832</v>
      </c>
      <c r="K866" s="5">
        <v>5</v>
      </c>
      <c r="L866" s="6">
        <v>768390.4</v>
      </c>
      <c r="M866" s="6">
        <v>491424.51</v>
      </c>
      <c r="N866" s="6">
        <v>276965.89</v>
      </c>
      <c r="O866" s="7">
        <v>36.04</v>
      </c>
      <c r="P866" s="5" t="s">
        <v>43</v>
      </c>
    </row>
    <row r="867" spans="1:16" x14ac:dyDescent="0.3">
      <c r="A867" s="2">
        <v>1036</v>
      </c>
      <c r="B867" s="2" t="s">
        <v>62</v>
      </c>
      <c r="C867" s="2" t="s">
        <v>63</v>
      </c>
      <c r="D867" s="2" t="s">
        <v>25</v>
      </c>
      <c r="E867" s="2" t="s">
        <v>19</v>
      </c>
      <c r="F867" s="2" t="s">
        <v>32</v>
      </c>
      <c r="G867" s="2" t="s">
        <v>40</v>
      </c>
      <c r="H867" s="2">
        <v>94</v>
      </c>
      <c r="I867" s="3">
        <v>16885</v>
      </c>
      <c r="J867" s="3">
        <v>1587190</v>
      </c>
      <c r="K867" s="2">
        <v>0</v>
      </c>
      <c r="L867" s="3">
        <v>1587190</v>
      </c>
      <c r="M867" s="3">
        <v>1029844.12</v>
      </c>
      <c r="N867" s="3">
        <v>557345.88</v>
      </c>
      <c r="O867" s="4">
        <v>35.119999999999997</v>
      </c>
      <c r="P867" s="2" t="s">
        <v>41</v>
      </c>
    </row>
    <row r="868" spans="1:16" x14ac:dyDescent="0.3">
      <c r="A868" s="5">
        <v>2158</v>
      </c>
      <c r="B868" s="5" t="s">
        <v>46</v>
      </c>
      <c r="C868" s="5" t="s">
        <v>47</v>
      </c>
      <c r="D868" s="5" t="s">
        <v>36</v>
      </c>
      <c r="E868" s="5" t="s">
        <v>42</v>
      </c>
      <c r="F868" s="5" t="s">
        <v>37</v>
      </c>
      <c r="G868" s="5" t="s">
        <v>38</v>
      </c>
      <c r="H868" s="5">
        <v>177</v>
      </c>
      <c r="I868" s="6">
        <v>1914</v>
      </c>
      <c r="J868" s="6">
        <v>338778</v>
      </c>
      <c r="K868" s="5">
        <v>0</v>
      </c>
      <c r="L868" s="6">
        <v>338778</v>
      </c>
      <c r="M868" s="6">
        <v>228979.97</v>
      </c>
      <c r="N868" s="6">
        <v>109798.03</v>
      </c>
      <c r="O868" s="7">
        <v>32.409999999999997</v>
      </c>
      <c r="P868" s="5" t="s">
        <v>61</v>
      </c>
    </row>
    <row r="869" spans="1:16" x14ac:dyDescent="0.3">
      <c r="A869" s="2">
        <v>2093</v>
      </c>
      <c r="B869" s="2" t="s">
        <v>76</v>
      </c>
      <c r="C869" s="2" t="s">
        <v>77</v>
      </c>
      <c r="D869" s="2" t="s">
        <v>36</v>
      </c>
      <c r="E869" s="2" t="s">
        <v>44</v>
      </c>
      <c r="F869" s="2" t="s">
        <v>20</v>
      </c>
      <c r="G869" s="2" t="s">
        <v>21</v>
      </c>
      <c r="H869" s="2">
        <v>142</v>
      </c>
      <c r="I869" s="3">
        <v>117</v>
      </c>
      <c r="J869" s="3">
        <v>16614</v>
      </c>
      <c r="K869" s="2">
        <v>0</v>
      </c>
      <c r="L869" s="3">
        <v>16614</v>
      </c>
      <c r="M869" s="3">
        <v>11343.74</v>
      </c>
      <c r="N869" s="3">
        <v>5270.26</v>
      </c>
      <c r="O869" s="4">
        <v>31.72</v>
      </c>
      <c r="P869" s="2" t="s">
        <v>39</v>
      </c>
    </row>
    <row r="870" spans="1:16" x14ac:dyDescent="0.3">
      <c r="A870" s="2">
        <v>1316</v>
      </c>
      <c r="B870" s="2" t="s">
        <v>57</v>
      </c>
      <c r="C870" s="2" t="s">
        <v>58</v>
      </c>
      <c r="D870" s="2" t="s">
        <v>56</v>
      </c>
      <c r="E870" s="2" t="s">
        <v>26</v>
      </c>
      <c r="F870" s="2" t="s">
        <v>20</v>
      </c>
      <c r="G870" s="2" t="s">
        <v>64</v>
      </c>
      <c r="H870" s="2">
        <v>65</v>
      </c>
      <c r="I870" s="3">
        <v>186</v>
      </c>
      <c r="J870" s="3">
        <v>12090</v>
      </c>
      <c r="K870" s="2">
        <v>5</v>
      </c>
      <c r="L870" s="3">
        <v>11485.5</v>
      </c>
      <c r="M870" s="3">
        <v>6913.16</v>
      </c>
      <c r="N870" s="3">
        <v>4572.34</v>
      </c>
      <c r="O870" s="4">
        <v>39.81</v>
      </c>
      <c r="P870" s="2" t="s">
        <v>50</v>
      </c>
    </row>
    <row r="871" spans="1:16" x14ac:dyDescent="0.3">
      <c r="A871" s="5">
        <v>1842</v>
      </c>
      <c r="B871" s="5" t="s">
        <v>70</v>
      </c>
      <c r="C871" s="5" t="s">
        <v>71</v>
      </c>
      <c r="D871" s="5" t="s">
        <v>18</v>
      </c>
      <c r="E871" s="5" t="s">
        <v>19</v>
      </c>
      <c r="F871" s="5" t="s">
        <v>20</v>
      </c>
      <c r="G871" s="5" t="s">
        <v>80</v>
      </c>
      <c r="H871" s="5">
        <v>65</v>
      </c>
      <c r="I871" s="6">
        <v>83</v>
      </c>
      <c r="J871" s="6">
        <v>5395</v>
      </c>
      <c r="K871" s="5">
        <v>20</v>
      </c>
      <c r="L871" s="6">
        <v>4316</v>
      </c>
      <c r="M871" s="6">
        <v>2875.37</v>
      </c>
      <c r="N871" s="6">
        <v>1440.63</v>
      </c>
      <c r="O871" s="7">
        <v>33.380000000000003</v>
      </c>
      <c r="P871" s="5" t="s">
        <v>39</v>
      </c>
    </row>
    <row r="872" spans="1:16" x14ac:dyDescent="0.3">
      <c r="A872" s="2">
        <v>1377</v>
      </c>
      <c r="B872" s="2" t="s">
        <v>57</v>
      </c>
      <c r="C872" s="2" t="s">
        <v>58</v>
      </c>
      <c r="D872" s="2" t="s">
        <v>56</v>
      </c>
      <c r="E872" s="2" t="s">
        <v>44</v>
      </c>
      <c r="F872" s="2" t="s">
        <v>27</v>
      </c>
      <c r="G872" s="2" t="s">
        <v>28</v>
      </c>
      <c r="H872" s="2">
        <v>74</v>
      </c>
      <c r="I872" s="3">
        <v>8079</v>
      </c>
      <c r="J872" s="3">
        <v>597846</v>
      </c>
      <c r="K872" s="2">
        <v>20</v>
      </c>
      <c r="L872" s="3">
        <v>478276.8</v>
      </c>
      <c r="M872" s="3">
        <v>317385.71999999997</v>
      </c>
      <c r="N872" s="3">
        <v>160891.07999999999</v>
      </c>
      <c r="O872" s="4">
        <v>33.64</v>
      </c>
      <c r="P872" s="2" t="s">
        <v>45</v>
      </c>
    </row>
    <row r="873" spans="1:16" x14ac:dyDescent="0.3">
      <c r="A873" s="5">
        <v>1733</v>
      </c>
      <c r="B873" s="5" t="s">
        <v>30</v>
      </c>
      <c r="C873" s="5" t="s">
        <v>31</v>
      </c>
      <c r="D873" s="5" t="s">
        <v>18</v>
      </c>
      <c r="E873" s="5" t="s">
        <v>19</v>
      </c>
      <c r="F873" s="5" t="s">
        <v>37</v>
      </c>
      <c r="G873" s="5" t="s">
        <v>38</v>
      </c>
      <c r="H873" s="5">
        <v>36</v>
      </c>
      <c r="I873" s="6">
        <v>1938</v>
      </c>
      <c r="J873" s="6">
        <v>69768</v>
      </c>
      <c r="K873" s="5">
        <v>5</v>
      </c>
      <c r="L873" s="6">
        <v>66279.600000000006</v>
      </c>
      <c r="M873" s="6">
        <v>45446.23</v>
      </c>
      <c r="N873" s="6">
        <v>20833.37</v>
      </c>
      <c r="O873" s="7">
        <v>31.43</v>
      </c>
      <c r="P873" s="5" t="s">
        <v>45</v>
      </c>
    </row>
    <row r="874" spans="1:16" x14ac:dyDescent="0.3">
      <c r="A874" s="2">
        <v>1909</v>
      </c>
      <c r="B874" s="2" t="s">
        <v>34</v>
      </c>
      <c r="C874" s="2" t="s">
        <v>35</v>
      </c>
      <c r="D874" s="2" t="s">
        <v>36</v>
      </c>
      <c r="E874" s="2" t="s">
        <v>26</v>
      </c>
      <c r="F874" s="2" t="s">
        <v>37</v>
      </c>
      <c r="G874" s="2" t="s">
        <v>82</v>
      </c>
      <c r="H874" s="2">
        <v>90</v>
      </c>
      <c r="I874" s="3">
        <v>1515</v>
      </c>
      <c r="J874" s="3">
        <v>136350</v>
      </c>
      <c r="K874" s="2">
        <v>5</v>
      </c>
      <c r="L874" s="3">
        <v>129532.5</v>
      </c>
      <c r="M874" s="3">
        <v>78237.8</v>
      </c>
      <c r="N874" s="3">
        <v>51294.7</v>
      </c>
      <c r="O874" s="4">
        <v>39.6</v>
      </c>
      <c r="P874" s="2" t="s">
        <v>39</v>
      </c>
    </row>
    <row r="875" spans="1:16" x14ac:dyDescent="0.3">
      <c r="A875" s="5">
        <v>1372</v>
      </c>
      <c r="B875" s="5" t="s">
        <v>57</v>
      </c>
      <c r="C875" s="5" t="s">
        <v>58</v>
      </c>
      <c r="D875" s="5" t="s">
        <v>56</v>
      </c>
      <c r="E875" s="5" t="s">
        <v>42</v>
      </c>
      <c r="F875" s="5" t="s">
        <v>48</v>
      </c>
      <c r="G875" s="5" t="s">
        <v>78</v>
      </c>
      <c r="H875" s="5">
        <v>56</v>
      </c>
      <c r="I875" s="6">
        <v>568</v>
      </c>
      <c r="J875" s="6">
        <v>31808</v>
      </c>
      <c r="K875" s="5">
        <v>5</v>
      </c>
      <c r="L875" s="6">
        <v>30217.599999999999</v>
      </c>
      <c r="M875" s="6">
        <v>20943.98</v>
      </c>
      <c r="N875" s="6">
        <v>9273.6200000000008</v>
      </c>
      <c r="O875" s="7">
        <v>30.69</v>
      </c>
      <c r="P875" s="5" t="s">
        <v>50</v>
      </c>
    </row>
    <row r="876" spans="1:16" x14ac:dyDescent="0.3">
      <c r="A876" s="2">
        <v>1149</v>
      </c>
      <c r="B876" s="2" t="s">
        <v>23</v>
      </c>
      <c r="C876" s="2" t="s">
        <v>24</v>
      </c>
      <c r="D876" s="2" t="s">
        <v>25</v>
      </c>
      <c r="E876" s="2" t="s">
        <v>19</v>
      </c>
      <c r="F876" s="2" t="s">
        <v>48</v>
      </c>
      <c r="G876" s="2" t="s">
        <v>51</v>
      </c>
      <c r="H876" s="2">
        <v>42</v>
      </c>
      <c r="I876" s="3">
        <v>1846</v>
      </c>
      <c r="J876" s="3">
        <v>77532</v>
      </c>
      <c r="K876" s="2">
        <v>15</v>
      </c>
      <c r="L876" s="3">
        <v>65902.2</v>
      </c>
      <c r="M876" s="3">
        <v>44796.14</v>
      </c>
      <c r="N876" s="3">
        <v>21106.06</v>
      </c>
      <c r="O876" s="4">
        <v>32.03</v>
      </c>
      <c r="P876" s="2" t="s">
        <v>43</v>
      </c>
    </row>
    <row r="877" spans="1:16" x14ac:dyDescent="0.3">
      <c r="A877" s="5">
        <v>1804</v>
      </c>
      <c r="B877" s="5" t="s">
        <v>70</v>
      </c>
      <c r="C877" s="5" t="s">
        <v>71</v>
      </c>
      <c r="D877" s="5" t="s">
        <v>18</v>
      </c>
      <c r="E877" s="5" t="s">
        <v>26</v>
      </c>
      <c r="F877" s="5" t="s">
        <v>27</v>
      </c>
      <c r="G877" s="5" t="s">
        <v>66</v>
      </c>
      <c r="H877" s="5">
        <v>36</v>
      </c>
      <c r="I877" s="6">
        <v>762</v>
      </c>
      <c r="J877" s="6">
        <v>27432</v>
      </c>
      <c r="K877" s="5">
        <v>10</v>
      </c>
      <c r="L877" s="6">
        <v>24688.799999999999</v>
      </c>
      <c r="M877" s="6">
        <v>13875.25</v>
      </c>
      <c r="N877" s="6">
        <v>10813.55</v>
      </c>
      <c r="O877" s="7">
        <v>43.8</v>
      </c>
      <c r="P877" s="5" t="s">
        <v>43</v>
      </c>
    </row>
    <row r="878" spans="1:16" x14ac:dyDescent="0.3">
      <c r="A878" s="2">
        <v>1901</v>
      </c>
      <c r="B878" s="2" t="s">
        <v>34</v>
      </c>
      <c r="C878" s="2" t="s">
        <v>35</v>
      </c>
      <c r="D878" s="2" t="s">
        <v>36</v>
      </c>
      <c r="E878" s="2" t="s">
        <v>26</v>
      </c>
      <c r="F878" s="2" t="s">
        <v>27</v>
      </c>
      <c r="G878" s="2" t="s">
        <v>85</v>
      </c>
      <c r="H878" s="2">
        <v>132</v>
      </c>
      <c r="I878" s="3">
        <v>12070</v>
      </c>
      <c r="J878" s="3">
        <v>1593240</v>
      </c>
      <c r="K878" s="2">
        <v>0</v>
      </c>
      <c r="L878" s="3">
        <v>1593240</v>
      </c>
      <c r="M878" s="3">
        <v>1075705.42</v>
      </c>
      <c r="N878" s="3">
        <v>517534.58</v>
      </c>
      <c r="O878" s="4">
        <v>32.479999999999997</v>
      </c>
      <c r="P878" s="2" t="s">
        <v>29</v>
      </c>
    </row>
    <row r="879" spans="1:16" x14ac:dyDescent="0.3">
      <c r="A879" s="5">
        <v>1997</v>
      </c>
      <c r="B879" s="5" t="s">
        <v>34</v>
      </c>
      <c r="C879" s="5" t="s">
        <v>35</v>
      </c>
      <c r="D879" s="5" t="s">
        <v>36</v>
      </c>
      <c r="E879" s="5" t="s">
        <v>44</v>
      </c>
      <c r="F879" s="5" t="s">
        <v>48</v>
      </c>
      <c r="G879" s="5" t="s">
        <v>78</v>
      </c>
      <c r="H879" s="5">
        <v>166</v>
      </c>
      <c r="I879" s="6">
        <v>636</v>
      </c>
      <c r="J879" s="6">
        <v>105576</v>
      </c>
      <c r="K879" s="5">
        <v>0</v>
      </c>
      <c r="L879" s="6">
        <v>105576</v>
      </c>
      <c r="M879" s="6">
        <v>65691.960000000006</v>
      </c>
      <c r="N879" s="6">
        <v>39884.04</v>
      </c>
      <c r="O879" s="7">
        <v>37.78</v>
      </c>
      <c r="P879" s="5" t="s">
        <v>39</v>
      </c>
    </row>
    <row r="880" spans="1:16" x14ac:dyDescent="0.3">
      <c r="A880" s="2">
        <v>1253</v>
      </c>
      <c r="B880" s="2" t="s">
        <v>52</v>
      </c>
      <c r="C880" s="2" t="s">
        <v>53</v>
      </c>
      <c r="D880" s="2" t="s">
        <v>25</v>
      </c>
      <c r="E880" s="2" t="s">
        <v>42</v>
      </c>
      <c r="F880" s="2" t="s">
        <v>27</v>
      </c>
      <c r="G880" s="2" t="s">
        <v>83</v>
      </c>
      <c r="H880" s="2">
        <v>83</v>
      </c>
      <c r="I880" s="3">
        <v>5110</v>
      </c>
      <c r="J880" s="3">
        <v>424130</v>
      </c>
      <c r="K880" s="2">
        <v>10</v>
      </c>
      <c r="L880" s="3">
        <v>381717</v>
      </c>
      <c r="M880" s="3">
        <v>231292.94</v>
      </c>
      <c r="N880" s="3">
        <v>150424.06</v>
      </c>
      <c r="O880" s="4">
        <v>39.409999999999997</v>
      </c>
      <c r="P880" s="2" t="s">
        <v>50</v>
      </c>
    </row>
    <row r="881" spans="1:16" x14ac:dyDescent="0.3">
      <c r="A881" s="5">
        <v>1700</v>
      </c>
      <c r="B881" s="5" t="s">
        <v>16</v>
      </c>
      <c r="C881" s="5" t="s">
        <v>17</v>
      </c>
      <c r="D881" s="5" t="s">
        <v>18</v>
      </c>
      <c r="E881" s="5" t="s">
        <v>44</v>
      </c>
      <c r="F881" s="5" t="s">
        <v>48</v>
      </c>
      <c r="G881" s="5" t="s">
        <v>72</v>
      </c>
      <c r="H881" s="5">
        <v>23</v>
      </c>
      <c r="I881" s="6">
        <v>3399</v>
      </c>
      <c r="J881" s="6">
        <v>78177</v>
      </c>
      <c r="K881" s="5">
        <v>5</v>
      </c>
      <c r="L881" s="6">
        <v>74268.149999999994</v>
      </c>
      <c r="M881" s="6">
        <v>46948.88</v>
      </c>
      <c r="N881" s="6">
        <v>27319.27</v>
      </c>
      <c r="O881" s="7">
        <v>36.78</v>
      </c>
      <c r="P881" s="5" t="s">
        <v>41</v>
      </c>
    </row>
    <row r="882" spans="1:16" x14ac:dyDescent="0.3">
      <c r="A882" s="2">
        <v>1487</v>
      </c>
      <c r="B882" s="2" t="s">
        <v>54</v>
      </c>
      <c r="C882" s="2" t="s">
        <v>55</v>
      </c>
      <c r="D882" s="2" t="s">
        <v>56</v>
      </c>
      <c r="E882" s="2" t="s">
        <v>44</v>
      </c>
      <c r="F882" s="2" t="s">
        <v>32</v>
      </c>
      <c r="G882" s="2" t="s">
        <v>75</v>
      </c>
      <c r="H882" s="2">
        <v>124</v>
      </c>
      <c r="I882" s="3">
        <v>11859</v>
      </c>
      <c r="J882" s="3">
        <v>1470516</v>
      </c>
      <c r="K882" s="2">
        <v>5</v>
      </c>
      <c r="L882" s="3">
        <v>1396990.2</v>
      </c>
      <c r="M882" s="3">
        <v>975750.66</v>
      </c>
      <c r="N882" s="3">
        <v>421239.54</v>
      </c>
      <c r="O882" s="4">
        <v>30.15</v>
      </c>
      <c r="P882" s="2" t="s">
        <v>29</v>
      </c>
    </row>
    <row r="883" spans="1:16" x14ac:dyDescent="0.3">
      <c r="A883" s="5">
        <v>1930</v>
      </c>
      <c r="B883" s="5" t="s">
        <v>34</v>
      </c>
      <c r="C883" s="5" t="s">
        <v>35</v>
      </c>
      <c r="D883" s="5" t="s">
        <v>36</v>
      </c>
      <c r="E883" s="5" t="s">
        <v>19</v>
      </c>
      <c r="F883" s="5" t="s">
        <v>27</v>
      </c>
      <c r="G883" s="5" t="s">
        <v>84</v>
      </c>
      <c r="H883" s="5">
        <v>115</v>
      </c>
      <c r="I883" s="6">
        <v>14821</v>
      </c>
      <c r="J883" s="6">
        <v>1704415</v>
      </c>
      <c r="K883" s="5">
        <v>5</v>
      </c>
      <c r="L883" s="6">
        <v>1619194.25</v>
      </c>
      <c r="M883" s="6">
        <v>939056.21</v>
      </c>
      <c r="N883" s="6">
        <v>680138.04</v>
      </c>
      <c r="O883" s="7">
        <v>42</v>
      </c>
      <c r="P883" s="5" t="s">
        <v>41</v>
      </c>
    </row>
    <row r="884" spans="1:16" x14ac:dyDescent="0.3">
      <c r="A884" s="2">
        <v>1559</v>
      </c>
      <c r="B884" s="2" t="s">
        <v>73</v>
      </c>
      <c r="C884" s="2" t="s">
        <v>74</v>
      </c>
      <c r="D884" s="2" t="s">
        <v>56</v>
      </c>
      <c r="E884" s="2" t="s">
        <v>42</v>
      </c>
      <c r="F884" s="2" t="s">
        <v>37</v>
      </c>
      <c r="G884" s="2" t="s">
        <v>82</v>
      </c>
      <c r="H884" s="2">
        <v>124</v>
      </c>
      <c r="I884" s="3">
        <v>1428</v>
      </c>
      <c r="J884" s="3">
        <v>177072</v>
      </c>
      <c r="K884" s="2">
        <v>0</v>
      </c>
      <c r="L884" s="3">
        <v>177072</v>
      </c>
      <c r="M884" s="3">
        <v>98215.17</v>
      </c>
      <c r="N884" s="3">
        <v>78856.83</v>
      </c>
      <c r="O884" s="4">
        <v>44.53</v>
      </c>
      <c r="P884" s="2" t="s">
        <v>22</v>
      </c>
    </row>
    <row r="885" spans="1:16" x14ac:dyDescent="0.3">
      <c r="A885" s="5">
        <v>1325</v>
      </c>
      <c r="B885" s="5" t="s">
        <v>57</v>
      </c>
      <c r="C885" s="5" t="s">
        <v>58</v>
      </c>
      <c r="D885" s="5" t="s">
        <v>56</v>
      </c>
      <c r="E885" s="5" t="s">
        <v>26</v>
      </c>
      <c r="F885" s="5" t="s">
        <v>48</v>
      </c>
      <c r="G885" s="5" t="s">
        <v>72</v>
      </c>
      <c r="H885" s="5">
        <v>70</v>
      </c>
      <c r="I885" s="6">
        <v>3251</v>
      </c>
      <c r="J885" s="6">
        <v>227570</v>
      </c>
      <c r="K885" s="5">
        <v>10</v>
      </c>
      <c r="L885" s="6">
        <v>204813</v>
      </c>
      <c r="M885" s="6">
        <v>135203.20000000001</v>
      </c>
      <c r="N885" s="6">
        <v>69609.8</v>
      </c>
      <c r="O885" s="7">
        <v>33.99</v>
      </c>
      <c r="P885" s="5" t="s">
        <v>41</v>
      </c>
    </row>
    <row r="886" spans="1:16" x14ac:dyDescent="0.3">
      <c r="A886" s="2">
        <v>2119</v>
      </c>
      <c r="B886" s="2" t="s">
        <v>46</v>
      </c>
      <c r="C886" s="2" t="s">
        <v>47</v>
      </c>
      <c r="D886" s="2" t="s">
        <v>36</v>
      </c>
      <c r="E886" s="2" t="s">
        <v>26</v>
      </c>
      <c r="F886" s="2" t="s">
        <v>20</v>
      </c>
      <c r="G886" s="2" t="s">
        <v>68</v>
      </c>
      <c r="H886" s="2">
        <v>48</v>
      </c>
      <c r="I886" s="3">
        <v>142</v>
      </c>
      <c r="J886" s="3">
        <v>6816</v>
      </c>
      <c r="K886" s="2">
        <v>20</v>
      </c>
      <c r="L886" s="3">
        <v>5452.8</v>
      </c>
      <c r="M886" s="3">
        <v>3483.83</v>
      </c>
      <c r="N886" s="3">
        <v>1968.97</v>
      </c>
      <c r="O886" s="4">
        <v>36.11</v>
      </c>
      <c r="P886" s="2" t="s">
        <v>41</v>
      </c>
    </row>
    <row r="887" spans="1:16" x14ac:dyDescent="0.3">
      <c r="A887" s="5">
        <v>1717</v>
      </c>
      <c r="B887" s="5" t="s">
        <v>30</v>
      </c>
      <c r="C887" s="5" t="s">
        <v>31</v>
      </c>
      <c r="D887" s="5" t="s">
        <v>18</v>
      </c>
      <c r="E887" s="5" t="s">
        <v>26</v>
      </c>
      <c r="F887" s="5" t="s">
        <v>20</v>
      </c>
      <c r="G887" s="5" t="s">
        <v>80</v>
      </c>
      <c r="H887" s="5">
        <v>129</v>
      </c>
      <c r="I887" s="6">
        <v>75</v>
      </c>
      <c r="J887" s="6">
        <v>9675</v>
      </c>
      <c r="K887" s="5">
        <v>0</v>
      </c>
      <c r="L887" s="6">
        <v>9675</v>
      </c>
      <c r="M887" s="6">
        <v>6748.6</v>
      </c>
      <c r="N887" s="6">
        <v>2926.4</v>
      </c>
      <c r="O887" s="7">
        <v>30.25</v>
      </c>
      <c r="P887" s="5" t="s">
        <v>50</v>
      </c>
    </row>
    <row r="888" spans="1:16" x14ac:dyDescent="0.3">
      <c r="A888" s="2">
        <v>1384</v>
      </c>
      <c r="B888" s="2" t="s">
        <v>57</v>
      </c>
      <c r="C888" s="2" t="s">
        <v>58</v>
      </c>
      <c r="D888" s="2" t="s">
        <v>56</v>
      </c>
      <c r="E888" s="2" t="s">
        <v>44</v>
      </c>
      <c r="F888" s="2" t="s">
        <v>37</v>
      </c>
      <c r="G888" s="2" t="s">
        <v>82</v>
      </c>
      <c r="H888" s="2">
        <v>53</v>
      </c>
      <c r="I888" s="3">
        <v>1351</v>
      </c>
      <c r="J888" s="3">
        <v>71603</v>
      </c>
      <c r="K888" s="2">
        <v>5</v>
      </c>
      <c r="L888" s="3">
        <v>68022.850000000006</v>
      </c>
      <c r="M888" s="3">
        <v>43313.32</v>
      </c>
      <c r="N888" s="3">
        <v>24709.53</v>
      </c>
      <c r="O888" s="4">
        <v>36.33</v>
      </c>
      <c r="P888" s="2" t="s">
        <v>43</v>
      </c>
    </row>
    <row r="889" spans="1:16" x14ac:dyDescent="0.3">
      <c r="A889" s="5">
        <v>2028</v>
      </c>
      <c r="B889" s="5" t="s">
        <v>76</v>
      </c>
      <c r="C889" s="5" t="s">
        <v>77</v>
      </c>
      <c r="D889" s="5" t="s">
        <v>36</v>
      </c>
      <c r="E889" s="5" t="s">
        <v>19</v>
      </c>
      <c r="F889" s="5" t="s">
        <v>27</v>
      </c>
      <c r="G889" s="5" t="s">
        <v>83</v>
      </c>
      <c r="H889" s="5">
        <v>133</v>
      </c>
      <c r="I889" s="6">
        <v>5048</v>
      </c>
      <c r="J889" s="6">
        <v>671384</v>
      </c>
      <c r="K889" s="5">
        <v>20</v>
      </c>
      <c r="L889" s="6">
        <v>537107.19999999995</v>
      </c>
      <c r="M889" s="6">
        <v>326331.55</v>
      </c>
      <c r="N889" s="6">
        <v>210775.65</v>
      </c>
      <c r="O889" s="7">
        <v>39.24</v>
      </c>
      <c r="P889" s="5" t="s">
        <v>41</v>
      </c>
    </row>
    <row r="890" spans="1:16" x14ac:dyDescent="0.3">
      <c r="A890" s="2">
        <v>1503</v>
      </c>
      <c r="B890" s="2" t="s">
        <v>73</v>
      </c>
      <c r="C890" s="2" t="s">
        <v>74</v>
      </c>
      <c r="D890" s="2" t="s">
        <v>56</v>
      </c>
      <c r="E890" s="2" t="s">
        <v>26</v>
      </c>
      <c r="F890" s="2" t="s">
        <v>27</v>
      </c>
      <c r="G890" s="2" t="s">
        <v>83</v>
      </c>
      <c r="H890" s="2">
        <v>31</v>
      </c>
      <c r="I890" s="3">
        <v>5126</v>
      </c>
      <c r="J890" s="3">
        <v>158906</v>
      </c>
      <c r="K890" s="2">
        <v>20</v>
      </c>
      <c r="L890" s="3">
        <v>127124.8</v>
      </c>
      <c r="M890" s="3">
        <v>70229.100000000006</v>
      </c>
      <c r="N890" s="3">
        <v>56895.7</v>
      </c>
      <c r="O890" s="4">
        <v>44.76</v>
      </c>
      <c r="P890" s="2" t="s">
        <v>61</v>
      </c>
    </row>
    <row r="891" spans="1:16" x14ac:dyDescent="0.3">
      <c r="A891" s="5">
        <v>2133</v>
      </c>
      <c r="B891" s="5" t="s">
        <v>46</v>
      </c>
      <c r="C891" s="5" t="s">
        <v>47</v>
      </c>
      <c r="D891" s="5" t="s">
        <v>36</v>
      </c>
      <c r="E891" s="5" t="s">
        <v>19</v>
      </c>
      <c r="F891" s="5" t="s">
        <v>37</v>
      </c>
      <c r="G891" s="5" t="s">
        <v>38</v>
      </c>
      <c r="H891" s="5">
        <v>107</v>
      </c>
      <c r="I891" s="6">
        <v>1958</v>
      </c>
      <c r="J891" s="6">
        <v>209506</v>
      </c>
      <c r="K891" s="5">
        <v>0</v>
      </c>
      <c r="L891" s="6">
        <v>209506</v>
      </c>
      <c r="M891" s="6">
        <v>129446.68</v>
      </c>
      <c r="N891" s="6">
        <v>80059.320000000007</v>
      </c>
      <c r="O891" s="7">
        <v>38.21</v>
      </c>
      <c r="P891" s="5" t="s">
        <v>45</v>
      </c>
    </row>
    <row r="892" spans="1:16" x14ac:dyDescent="0.3">
      <c r="A892" s="2">
        <v>1604</v>
      </c>
      <c r="B892" s="2" t="s">
        <v>16</v>
      </c>
      <c r="C892" s="2" t="s">
        <v>17</v>
      </c>
      <c r="D892" s="2" t="s">
        <v>18</v>
      </c>
      <c r="E892" s="2" t="s">
        <v>26</v>
      </c>
      <c r="F892" s="2" t="s">
        <v>27</v>
      </c>
      <c r="G892" s="2" t="s">
        <v>66</v>
      </c>
      <c r="H892" s="2">
        <v>59</v>
      </c>
      <c r="I892" s="3">
        <v>822</v>
      </c>
      <c r="J892" s="3">
        <v>48498</v>
      </c>
      <c r="K892" s="2">
        <v>0</v>
      </c>
      <c r="L892" s="3">
        <v>48498</v>
      </c>
      <c r="M892" s="3">
        <v>30118.98</v>
      </c>
      <c r="N892" s="3">
        <v>18379.02</v>
      </c>
      <c r="O892" s="4">
        <v>37.9</v>
      </c>
      <c r="P892" s="2" t="s">
        <v>29</v>
      </c>
    </row>
    <row r="893" spans="1:16" x14ac:dyDescent="0.3">
      <c r="A893" s="5">
        <v>1884</v>
      </c>
      <c r="B893" s="5" t="s">
        <v>70</v>
      </c>
      <c r="C893" s="5" t="s">
        <v>71</v>
      </c>
      <c r="D893" s="5" t="s">
        <v>18</v>
      </c>
      <c r="E893" s="5" t="s">
        <v>44</v>
      </c>
      <c r="F893" s="5" t="s">
        <v>37</v>
      </c>
      <c r="G893" s="5" t="s">
        <v>82</v>
      </c>
      <c r="H893" s="5">
        <v>33</v>
      </c>
      <c r="I893" s="6">
        <v>1536</v>
      </c>
      <c r="J893" s="6">
        <v>50688</v>
      </c>
      <c r="K893" s="5">
        <v>0</v>
      </c>
      <c r="L893" s="6">
        <v>50688</v>
      </c>
      <c r="M893" s="6">
        <v>28332.880000000001</v>
      </c>
      <c r="N893" s="6">
        <v>22355.119999999999</v>
      </c>
      <c r="O893" s="7">
        <v>44.1</v>
      </c>
      <c r="P893" s="5" t="s">
        <v>61</v>
      </c>
    </row>
    <row r="894" spans="1:16" x14ac:dyDescent="0.3">
      <c r="A894" s="2">
        <v>1261</v>
      </c>
      <c r="B894" s="2" t="s">
        <v>52</v>
      </c>
      <c r="C894" s="2" t="s">
        <v>53</v>
      </c>
      <c r="D894" s="2" t="s">
        <v>25</v>
      </c>
      <c r="E894" s="2" t="s">
        <v>42</v>
      </c>
      <c r="F894" s="2" t="s">
        <v>32</v>
      </c>
      <c r="G894" s="2" t="s">
        <v>40</v>
      </c>
      <c r="H894" s="2">
        <v>37</v>
      </c>
      <c r="I894" s="3">
        <v>17265</v>
      </c>
      <c r="J894" s="3">
        <v>638805</v>
      </c>
      <c r="K894" s="2">
        <v>0</v>
      </c>
      <c r="L894" s="3">
        <v>638805</v>
      </c>
      <c r="M894" s="3">
        <v>399989.96</v>
      </c>
      <c r="N894" s="3">
        <v>238815.04</v>
      </c>
      <c r="O894" s="4">
        <v>37.380000000000003</v>
      </c>
      <c r="P894" s="2" t="s">
        <v>43</v>
      </c>
    </row>
    <row r="895" spans="1:16" x14ac:dyDescent="0.3">
      <c r="A895" s="5">
        <v>1419</v>
      </c>
      <c r="B895" s="5" t="s">
        <v>54</v>
      </c>
      <c r="C895" s="5" t="s">
        <v>55</v>
      </c>
      <c r="D895" s="5" t="s">
        <v>56</v>
      </c>
      <c r="E895" s="5" t="s">
        <v>26</v>
      </c>
      <c r="F895" s="5" t="s">
        <v>20</v>
      </c>
      <c r="G895" s="5" t="s">
        <v>68</v>
      </c>
      <c r="H895" s="5">
        <v>137</v>
      </c>
      <c r="I895" s="6">
        <v>147</v>
      </c>
      <c r="J895" s="6">
        <v>20139</v>
      </c>
      <c r="K895" s="5">
        <v>5</v>
      </c>
      <c r="L895" s="6">
        <v>19132.05</v>
      </c>
      <c r="M895" s="6">
        <v>10717.68</v>
      </c>
      <c r="N895" s="6">
        <v>8414.3700000000008</v>
      </c>
      <c r="O895" s="7">
        <v>43.98</v>
      </c>
      <c r="P895" s="5" t="s">
        <v>61</v>
      </c>
    </row>
    <row r="896" spans="1:16" x14ac:dyDescent="0.3">
      <c r="A896" s="2">
        <v>1451</v>
      </c>
      <c r="B896" s="2" t="s">
        <v>54</v>
      </c>
      <c r="C896" s="2" t="s">
        <v>55</v>
      </c>
      <c r="D896" s="2" t="s">
        <v>56</v>
      </c>
      <c r="E896" s="2" t="s">
        <v>42</v>
      </c>
      <c r="F896" s="2" t="s">
        <v>27</v>
      </c>
      <c r="G896" s="2" t="s">
        <v>85</v>
      </c>
      <c r="H896" s="2">
        <v>90</v>
      </c>
      <c r="I896" s="3">
        <v>11226</v>
      </c>
      <c r="J896" s="3">
        <v>1010340</v>
      </c>
      <c r="K896" s="2">
        <v>15</v>
      </c>
      <c r="L896" s="3">
        <v>858789</v>
      </c>
      <c r="M896" s="3">
        <v>597123.53</v>
      </c>
      <c r="N896" s="3">
        <v>261665.47</v>
      </c>
      <c r="O896" s="4">
        <v>30.47</v>
      </c>
      <c r="P896" s="2" t="s">
        <v>50</v>
      </c>
    </row>
    <row r="897" spans="1:16" x14ac:dyDescent="0.3">
      <c r="A897" s="5">
        <v>1282</v>
      </c>
      <c r="B897" s="5" t="s">
        <v>52</v>
      </c>
      <c r="C897" s="5" t="s">
        <v>53</v>
      </c>
      <c r="D897" s="5" t="s">
        <v>25</v>
      </c>
      <c r="E897" s="5" t="s">
        <v>44</v>
      </c>
      <c r="F897" s="5" t="s">
        <v>37</v>
      </c>
      <c r="G897" s="5" t="s">
        <v>79</v>
      </c>
      <c r="H897" s="5">
        <v>79</v>
      </c>
      <c r="I897" s="6">
        <v>1167</v>
      </c>
      <c r="J897" s="6">
        <v>92193</v>
      </c>
      <c r="K897" s="5">
        <v>0</v>
      </c>
      <c r="L897" s="6">
        <v>92193</v>
      </c>
      <c r="M897" s="6">
        <v>56105.72</v>
      </c>
      <c r="N897" s="6">
        <v>36087.279999999999</v>
      </c>
      <c r="O897" s="7">
        <v>39.14</v>
      </c>
      <c r="P897" s="5" t="s">
        <v>39</v>
      </c>
    </row>
    <row r="898" spans="1:16" x14ac:dyDescent="0.3">
      <c r="A898" s="2">
        <v>1220</v>
      </c>
      <c r="B898" s="2" t="s">
        <v>52</v>
      </c>
      <c r="C898" s="2" t="s">
        <v>53</v>
      </c>
      <c r="D898" s="2" t="s">
        <v>25</v>
      </c>
      <c r="E898" s="2" t="s">
        <v>26</v>
      </c>
      <c r="F898" s="2" t="s">
        <v>20</v>
      </c>
      <c r="G898" s="2" t="s">
        <v>60</v>
      </c>
      <c r="H898" s="2">
        <v>144</v>
      </c>
      <c r="I898" s="3">
        <v>92</v>
      </c>
      <c r="J898" s="3">
        <v>13248</v>
      </c>
      <c r="K898" s="2">
        <v>10</v>
      </c>
      <c r="L898" s="3">
        <v>11923.2</v>
      </c>
      <c r="M898" s="3">
        <v>6743.05</v>
      </c>
      <c r="N898" s="3">
        <v>5180.1499999999996</v>
      </c>
      <c r="O898" s="4">
        <v>43.45</v>
      </c>
      <c r="P898" s="2" t="s">
        <v>45</v>
      </c>
    </row>
    <row r="899" spans="1:16" x14ac:dyDescent="0.3">
      <c r="A899" s="5">
        <v>1180</v>
      </c>
      <c r="B899" s="5" t="s">
        <v>23</v>
      </c>
      <c r="C899" s="5" t="s">
        <v>24</v>
      </c>
      <c r="D899" s="5" t="s">
        <v>25</v>
      </c>
      <c r="E899" s="5" t="s">
        <v>44</v>
      </c>
      <c r="F899" s="5" t="s">
        <v>27</v>
      </c>
      <c r="G899" s="5" t="s">
        <v>84</v>
      </c>
      <c r="H899" s="5">
        <v>117</v>
      </c>
      <c r="I899" s="6">
        <v>15736</v>
      </c>
      <c r="J899" s="6">
        <v>1841112</v>
      </c>
      <c r="K899" s="5">
        <v>5</v>
      </c>
      <c r="L899" s="6">
        <v>1749056.4</v>
      </c>
      <c r="M899" s="6">
        <v>1165503.23</v>
      </c>
      <c r="N899" s="6">
        <v>583553.17000000004</v>
      </c>
      <c r="O899" s="7">
        <v>33.36</v>
      </c>
      <c r="P899" s="5" t="s">
        <v>45</v>
      </c>
    </row>
    <row r="900" spans="1:16" x14ac:dyDescent="0.3">
      <c r="A900" s="2">
        <v>1110</v>
      </c>
      <c r="B900" s="2" t="s">
        <v>23</v>
      </c>
      <c r="C900" s="2" t="s">
        <v>24</v>
      </c>
      <c r="D900" s="2" t="s">
        <v>25</v>
      </c>
      <c r="E900" s="2" t="s">
        <v>26</v>
      </c>
      <c r="F900" s="2" t="s">
        <v>37</v>
      </c>
      <c r="G900" s="2" t="s">
        <v>67</v>
      </c>
      <c r="H900" s="2">
        <v>31</v>
      </c>
      <c r="I900" s="3">
        <v>1898</v>
      </c>
      <c r="J900" s="3">
        <v>58838</v>
      </c>
      <c r="K900" s="2">
        <v>0</v>
      </c>
      <c r="L900" s="3">
        <v>58838</v>
      </c>
      <c r="M900" s="3">
        <v>39388.160000000003</v>
      </c>
      <c r="N900" s="3">
        <v>19449.84</v>
      </c>
      <c r="O900" s="4">
        <v>33.06</v>
      </c>
      <c r="P900" s="2" t="s">
        <v>43</v>
      </c>
    </row>
    <row r="901" spans="1:16" x14ac:dyDescent="0.3">
      <c r="A901" s="5">
        <v>1148</v>
      </c>
      <c r="B901" s="5" t="s">
        <v>23</v>
      </c>
      <c r="C901" s="5" t="s">
        <v>24</v>
      </c>
      <c r="D901" s="5" t="s">
        <v>25</v>
      </c>
      <c r="E901" s="5" t="s">
        <v>19</v>
      </c>
      <c r="F901" s="5" t="s">
        <v>48</v>
      </c>
      <c r="G901" s="5" t="s">
        <v>49</v>
      </c>
      <c r="H901" s="5">
        <v>46</v>
      </c>
      <c r="I901" s="6">
        <v>871</v>
      </c>
      <c r="J901" s="6">
        <v>40066</v>
      </c>
      <c r="K901" s="5">
        <v>0</v>
      </c>
      <c r="L901" s="6">
        <v>40066</v>
      </c>
      <c r="M901" s="6">
        <v>24769.759999999998</v>
      </c>
      <c r="N901" s="6">
        <v>15296.24</v>
      </c>
      <c r="O901" s="7">
        <v>38.18</v>
      </c>
      <c r="P901" s="5" t="s">
        <v>41</v>
      </c>
    </row>
    <row r="902" spans="1:16" x14ac:dyDescent="0.3">
      <c r="A902" s="2">
        <v>1224</v>
      </c>
      <c r="B902" s="2" t="s">
        <v>52</v>
      </c>
      <c r="C902" s="2" t="s">
        <v>53</v>
      </c>
      <c r="D902" s="2" t="s">
        <v>25</v>
      </c>
      <c r="E902" s="2" t="s">
        <v>26</v>
      </c>
      <c r="F902" s="2" t="s">
        <v>48</v>
      </c>
      <c r="G902" s="2" t="s">
        <v>51</v>
      </c>
      <c r="H902" s="2">
        <v>110</v>
      </c>
      <c r="I902" s="3">
        <v>1924</v>
      </c>
      <c r="J902" s="3">
        <v>211640</v>
      </c>
      <c r="K902" s="2">
        <v>10</v>
      </c>
      <c r="L902" s="3">
        <v>190476</v>
      </c>
      <c r="M902" s="3">
        <v>114791.03</v>
      </c>
      <c r="N902" s="3">
        <v>75684.97</v>
      </c>
      <c r="O902" s="4">
        <v>39.729999999999997</v>
      </c>
      <c r="P902" s="2" t="s">
        <v>61</v>
      </c>
    </row>
    <row r="903" spans="1:16" x14ac:dyDescent="0.3">
      <c r="A903" s="5">
        <v>1434</v>
      </c>
      <c r="B903" s="5" t="s">
        <v>54</v>
      </c>
      <c r="C903" s="5" t="s">
        <v>55</v>
      </c>
      <c r="D903" s="5" t="s">
        <v>56</v>
      </c>
      <c r="E903" s="5" t="s">
        <v>19</v>
      </c>
      <c r="F903" s="5" t="s">
        <v>37</v>
      </c>
      <c r="G903" s="5" t="s">
        <v>82</v>
      </c>
      <c r="H903" s="5">
        <v>69</v>
      </c>
      <c r="I903" s="6">
        <v>1572</v>
      </c>
      <c r="J903" s="6">
        <v>108468</v>
      </c>
      <c r="K903" s="5">
        <v>0</v>
      </c>
      <c r="L903" s="6">
        <v>108468</v>
      </c>
      <c r="M903" s="6">
        <v>67805.399999999994</v>
      </c>
      <c r="N903" s="6">
        <v>40662.6</v>
      </c>
      <c r="O903" s="7">
        <v>37.49</v>
      </c>
      <c r="P903" s="5" t="s">
        <v>41</v>
      </c>
    </row>
    <row r="904" spans="1:16" x14ac:dyDescent="0.3">
      <c r="A904" s="2">
        <v>2098</v>
      </c>
      <c r="B904" s="2" t="s">
        <v>76</v>
      </c>
      <c r="C904" s="2" t="s">
        <v>77</v>
      </c>
      <c r="D904" s="2" t="s">
        <v>36</v>
      </c>
      <c r="E904" s="2" t="s">
        <v>44</v>
      </c>
      <c r="F904" s="2" t="s">
        <v>48</v>
      </c>
      <c r="G904" s="2" t="s">
        <v>49</v>
      </c>
      <c r="H904" s="2">
        <v>162</v>
      </c>
      <c r="I904" s="3">
        <v>757</v>
      </c>
      <c r="J904" s="3">
        <v>122634</v>
      </c>
      <c r="K904" s="2">
        <v>0</v>
      </c>
      <c r="L904" s="3">
        <v>122634</v>
      </c>
      <c r="M904" s="3">
        <v>68127.070000000007</v>
      </c>
      <c r="N904" s="3">
        <v>54506.93</v>
      </c>
      <c r="O904" s="4">
        <v>44.45</v>
      </c>
      <c r="P904" s="2" t="s">
        <v>61</v>
      </c>
    </row>
    <row r="905" spans="1:16" x14ac:dyDescent="0.3">
      <c r="A905" s="5">
        <v>1762</v>
      </c>
      <c r="B905" s="5" t="s">
        <v>30</v>
      </c>
      <c r="C905" s="5" t="s">
        <v>31</v>
      </c>
      <c r="D905" s="5" t="s">
        <v>18</v>
      </c>
      <c r="E905" s="5" t="s">
        <v>42</v>
      </c>
      <c r="F905" s="5" t="s">
        <v>32</v>
      </c>
      <c r="G905" s="5" t="s">
        <v>75</v>
      </c>
      <c r="H905" s="5">
        <v>156</v>
      </c>
      <c r="I905" s="6">
        <v>11271</v>
      </c>
      <c r="J905" s="6">
        <v>1758276</v>
      </c>
      <c r="K905" s="5">
        <v>0</v>
      </c>
      <c r="L905" s="6">
        <v>1758276</v>
      </c>
      <c r="M905" s="6">
        <v>1158903.98</v>
      </c>
      <c r="N905" s="6">
        <v>599372.02</v>
      </c>
      <c r="O905" s="7">
        <v>34.090000000000003</v>
      </c>
      <c r="P905" s="5" t="s">
        <v>43</v>
      </c>
    </row>
    <row r="906" spans="1:16" x14ac:dyDescent="0.3">
      <c r="A906" s="2">
        <v>1767</v>
      </c>
      <c r="B906" s="2" t="s">
        <v>30</v>
      </c>
      <c r="C906" s="2" t="s">
        <v>31</v>
      </c>
      <c r="D906" s="2" t="s">
        <v>18</v>
      </c>
      <c r="E906" s="2" t="s">
        <v>42</v>
      </c>
      <c r="F906" s="2" t="s">
        <v>20</v>
      </c>
      <c r="G906" s="2" t="s">
        <v>80</v>
      </c>
      <c r="H906" s="2">
        <v>136</v>
      </c>
      <c r="I906" s="3">
        <v>74</v>
      </c>
      <c r="J906" s="3">
        <v>10064</v>
      </c>
      <c r="K906" s="2">
        <v>0</v>
      </c>
      <c r="L906" s="3">
        <v>10064</v>
      </c>
      <c r="M906" s="3">
        <v>5805.64</v>
      </c>
      <c r="N906" s="3">
        <v>4258.3599999999997</v>
      </c>
      <c r="O906" s="4">
        <v>42.31</v>
      </c>
      <c r="P906" s="2" t="s">
        <v>61</v>
      </c>
    </row>
    <row r="907" spans="1:16" x14ac:dyDescent="0.3">
      <c r="A907" s="5">
        <v>1826</v>
      </c>
      <c r="B907" s="5" t="s">
        <v>70</v>
      </c>
      <c r="C907" s="5" t="s">
        <v>71</v>
      </c>
      <c r="D907" s="5" t="s">
        <v>18</v>
      </c>
      <c r="E907" s="5" t="s">
        <v>19</v>
      </c>
      <c r="F907" s="5" t="s">
        <v>27</v>
      </c>
      <c r="G907" s="5" t="s">
        <v>85</v>
      </c>
      <c r="H907" s="5">
        <v>83</v>
      </c>
      <c r="I907" s="6">
        <v>13163</v>
      </c>
      <c r="J907" s="6">
        <v>1092529</v>
      </c>
      <c r="K907" s="5">
        <v>5</v>
      </c>
      <c r="L907" s="6">
        <v>1037902.55</v>
      </c>
      <c r="M907" s="6">
        <v>632790.42000000004</v>
      </c>
      <c r="N907" s="6">
        <v>405112.13</v>
      </c>
      <c r="O907" s="7">
        <v>39.03</v>
      </c>
      <c r="P907" s="5" t="s">
        <v>61</v>
      </c>
    </row>
    <row r="908" spans="1:16" x14ac:dyDescent="0.3">
      <c r="A908" s="2">
        <v>1400</v>
      </c>
      <c r="B908" s="2" t="s">
        <v>57</v>
      </c>
      <c r="C908" s="2" t="s">
        <v>58</v>
      </c>
      <c r="D908" s="2" t="s">
        <v>56</v>
      </c>
      <c r="E908" s="2" t="s">
        <v>44</v>
      </c>
      <c r="F908" s="2" t="s">
        <v>48</v>
      </c>
      <c r="G908" s="2" t="s">
        <v>72</v>
      </c>
      <c r="H908" s="2">
        <v>92</v>
      </c>
      <c r="I908" s="3">
        <v>3183</v>
      </c>
      <c r="J908" s="3">
        <v>292836</v>
      </c>
      <c r="K908" s="2">
        <v>10</v>
      </c>
      <c r="L908" s="3">
        <v>263552.40000000002</v>
      </c>
      <c r="M908" s="3">
        <v>182177.42</v>
      </c>
      <c r="N908" s="3">
        <v>81374.98</v>
      </c>
      <c r="O908" s="4">
        <v>30.88</v>
      </c>
      <c r="P908" s="2" t="s">
        <v>22</v>
      </c>
    </row>
    <row r="909" spans="1:16" x14ac:dyDescent="0.3">
      <c r="A909" s="5">
        <v>1755</v>
      </c>
      <c r="B909" s="5" t="s">
        <v>30</v>
      </c>
      <c r="C909" s="5" t="s">
        <v>31</v>
      </c>
      <c r="D909" s="5" t="s">
        <v>18</v>
      </c>
      <c r="E909" s="5" t="s">
        <v>42</v>
      </c>
      <c r="F909" s="5" t="s">
        <v>27</v>
      </c>
      <c r="G909" s="5" t="s">
        <v>84</v>
      </c>
      <c r="H909" s="5">
        <v>165</v>
      </c>
      <c r="I909" s="6">
        <v>14571</v>
      </c>
      <c r="J909" s="6">
        <v>2404215</v>
      </c>
      <c r="K909" s="5">
        <v>5</v>
      </c>
      <c r="L909" s="6">
        <v>2284004.25</v>
      </c>
      <c r="M909" s="6">
        <v>1290477.8400000001</v>
      </c>
      <c r="N909" s="6">
        <v>993526.41</v>
      </c>
      <c r="O909" s="7">
        <v>43.5</v>
      </c>
      <c r="P909" s="5" t="s">
        <v>29</v>
      </c>
    </row>
    <row r="910" spans="1:16" x14ac:dyDescent="0.3">
      <c r="A910" s="2">
        <v>1599</v>
      </c>
      <c r="B910" s="2" t="s">
        <v>73</v>
      </c>
      <c r="C910" s="2" t="s">
        <v>74</v>
      </c>
      <c r="D910" s="2" t="s">
        <v>56</v>
      </c>
      <c r="E910" s="2" t="s">
        <v>44</v>
      </c>
      <c r="F910" s="2" t="s">
        <v>48</v>
      </c>
      <c r="G910" s="2" t="s">
        <v>51</v>
      </c>
      <c r="H910" s="2">
        <v>122</v>
      </c>
      <c r="I910" s="3">
        <v>1973</v>
      </c>
      <c r="J910" s="3">
        <v>240706</v>
      </c>
      <c r="K910" s="2">
        <v>0</v>
      </c>
      <c r="L910" s="3">
        <v>240706</v>
      </c>
      <c r="M910" s="3">
        <v>154316.04999999999</v>
      </c>
      <c r="N910" s="3">
        <v>86389.95</v>
      </c>
      <c r="O910" s="4">
        <v>35.89</v>
      </c>
      <c r="P910" s="2" t="s">
        <v>22</v>
      </c>
    </row>
    <row r="911" spans="1:16" x14ac:dyDescent="0.3">
      <c r="A911" s="5">
        <v>1853</v>
      </c>
      <c r="B911" s="5" t="s">
        <v>70</v>
      </c>
      <c r="C911" s="5" t="s">
        <v>71</v>
      </c>
      <c r="D911" s="5" t="s">
        <v>18</v>
      </c>
      <c r="E911" s="5" t="s">
        <v>42</v>
      </c>
      <c r="F911" s="5" t="s">
        <v>27</v>
      </c>
      <c r="G911" s="5" t="s">
        <v>83</v>
      </c>
      <c r="H911" s="5">
        <v>127</v>
      </c>
      <c r="I911" s="6">
        <v>4943</v>
      </c>
      <c r="J911" s="6">
        <v>627761</v>
      </c>
      <c r="K911" s="5">
        <v>0</v>
      </c>
      <c r="L911" s="6">
        <v>627761</v>
      </c>
      <c r="M911" s="6">
        <v>357630.15</v>
      </c>
      <c r="N911" s="6">
        <v>270130.84999999998</v>
      </c>
      <c r="O911" s="7">
        <v>43.03</v>
      </c>
      <c r="P911" s="5" t="s">
        <v>61</v>
      </c>
    </row>
    <row r="912" spans="1:16" x14ac:dyDescent="0.3">
      <c r="A912" s="2">
        <v>1338</v>
      </c>
      <c r="B912" s="2" t="s">
        <v>57</v>
      </c>
      <c r="C912" s="2" t="s">
        <v>58</v>
      </c>
      <c r="D912" s="2" t="s">
        <v>56</v>
      </c>
      <c r="E912" s="2" t="s">
        <v>19</v>
      </c>
      <c r="F912" s="2" t="s">
        <v>32</v>
      </c>
      <c r="G912" s="2" t="s">
        <v>81</v>
      </c>
      <c r="H912" s="2">
        <v>112</v>
      </c>
      <c r="I912" s="3">
        <v>13157</v>
      </c>
      <c r="J912" s="3">
        <v>1473584</v>
      </c>
      <c r="K912" s="2">
        <v>15</v>
      </c>
      <c r="L912" s="3">
        <v>1252546.3999999999</v>
      </c>
      <c r="M912" s="3">
        <v>782856.14</v>
      </c>
      <c r="N912" s="3">
        <v>469690.26</v>
      </c>
      <c r="O912" s="4">
        <v>37.5</v>
      </c>
      <c r="P912" s="2" t="s">
        <v>43</v>
      </c>
    </row>
    <row r="913" spans="1:16" x14ac:dyDescent="0.3">
      <c r="A913" s="5">
        <v>2144</v>
      </c>
      <c r="B913" s="5" t="s">
        <v>46</v>
      </c>
      <c r="C913" s="5" t="s">
        <v>47</v>
      </c>
      <c r="D913" s="5" t="s">
        <v>36</v>
      </c>
      <c r="E913" s="5" t="s">
        <v>19</v>
      </c>
      <c r="F913" s="5" t="s">
        <v>20</v>
      </c>
      <c r="G913" s="5" t="s">
        <v>68</v>
      </c>
      <c r="H913" s="5">
        <v>54</v>
      </c>
      <c r="I913" s="6">
        <v>145</v>
      </c>
      <c r="J913" s="6">
        <v>7830</v>
      </c>
      <c r="K913" s="5">
        <v>0</v>
      </c>
      <c r="L913" s="6">
        <v>7830</v>
      </c>
      <c r="M913" s="6">
        <v>5068.8</v>
      </c>
      <c r="N913" s="6">
        <v>2761.2</v>
      </c>
      <c r="O913" s="7">
        <v>35.26</v>
      </c>
      <c r="P913" s="5" t="s">
        <v>45</v>
      </c>
    </row>
    <row r="914" spans="1:16" x14ac:dyDescent="0.3">
      <c r="A914" s="2">
        <v>1827</v>
      </c>
      <c r="B914" s="2" t="s">
        <v>70</v>
      </c>
      <c r="C914" s="2" t="s">
        <v>71</v>
      </c>
      <c r="D914" s="2" t="s">
        <v>18</v>
      </c>
      <c r="E914" s="2" t="s">
        <v>19</v>
      </c>
      <c r="F914" s="2" t="s">
        <v>27</v>
      </c>
      <c r="G914" s="2" t="s">
        <v>28</v>
      </c>
      <c r="H914" s="2">
        <v>26</v>
      </c>
      <c r="I914" s="3">
        <v>8479</v>
      </c>
      <c r="J914" s="3">
        <v>220454</v>
      </c>
      <c r="K914" s="2">
        <v>20</v>
      </c>
      <c r="L914" s="3">
        <v>176363.2</v>
      </c>
      <c r="M914" s="3">
        <v>121857.83</v>
      </c>
      <c r="N914" s="3">
        <v>54505.37</v>
      </c>
      <c r="O914" s="4">
        <v>30.91</v>
      </c>
      <c r="P914" s="2" t="s">
        <v>43</v>
      </c>
    </row>
    <row r="915" spans="1:16" x14ac:dyDescent="0.3">
      <c r="A915" s="5">
        <v>1792</v>
      </c>
      <c r="B915" s="5" t="s">
        <v>30</v>
      </c>
      <c r="C915" s="5" t="s">
        <v>31</v>
      </c>
      <c r="D915" s="5" t="s">
        <v>18</v>
      </c>
      <c r="E915" s="5" t="s">
        <v>44</v>
      </c>
      <c r="F915" s="5" t="s">
        <v>20</v>
      </c>
      <c r="G915" s="5" t="s">
        <v>80</v>
      </c>
      <c r="H915" s="5">
        <v>82</v>
      </c>
      <c r="I915" s="6">
        <v>76</v>
      </c>
      <c r="J915" s="6">
        <v>6232</v>
      </c>
      <c r="K915" s="5">
        <v>5</v>
      </c>
      <c r="L915" s="6">
        <v>5920.4</v>
      </c>
      <c r="M915" s="6">
        <v>4064.43</v>
      </c>
      <c r="N915" s="6">
        <v>1855.97</v>
      </c>
      <c r="O915" s="7">
        <v>31.35</v>
      </c>
      <c r="P915" s="5" t="s">
        <v>29</v>
      </c>
    </row>
    <row r="916" spans="1:16" x14ac:dyDescent="0.3">
      <c r="A916" s="2">
        <v>2134</v>
      </c>
      <c r="B916" s="2" t="s">
        <v>46</v>
      </c>
      <c r="C916" s="2" t="s">
        <v>47</v>
      </c>
      <c r="D916" s="2" t="s">
        <v>36</v>
      </c>
      <c r="E916" s="2" t="s">
        <v>19</v>
      </c>
      <c r="F916" s="2" t="s">
        <v>37</v>
      </c>
      <c r="G916" s="2" t="s">
        <v>82</v>
      </c>
      <c r="H916" s="2">
        <v>43</v>
      </c>
      <c r="I916" s="3">
        <v>1576</v>
      </c>
      <c r="J916" s="3">
        <v>67768</v>
      </c>
      <c r="K916" s="2">
        <v>15</v>
      </c>
      <c r="L916" s="3">
        <v>57602.8</v>
      </c>
      <c r="M916" s="3">
        <v>39889.370000000003</v>
      </c>
      <c r="N916" s="3">
        <v>17713.43</v>
      </c>
      <c r="O916" s="4">
        <v>30.75</v>
      </c>
      <c r="P916" s="2" t="s">
        <v>61</v>
      </c>
    </row>
    <row r="917" spans="1:16" x14ac:dyDescent="0.3">
      <c r="A917" s="5">
        <v>2035</v>
      </c>
      <c r="B917" s="5" t="s">
        <v>76</v>
      </c>
      <c r="C917" s="5" t="s">
        <v>77</v>
      </c>
      <c r="D917" s="5" t="s">
        <v>36</v>
      </c>
      <c r="E917" s="5" t="s">
        <v>19</v>
      </c>
      <c r="F917" s="5" t="s">
        <v>37</v>
      </c>
      <c r="G917" s="5" t="s">
        <v>67</v>
      </c>
      <c r="H917" s="5">
        <v>104</v>
      </c>
      <c r="I917" s="6">
        <v>1725</v>
      </c>
      <c r="J917" s="6">
        <v>179400</v>
      </c>
      <c r="K917" s="5">
        <v>20</v>
      </c>
      <c r="L917" s="6">
        <v>143520</v>
      </c>
      <c r="M917" s="6">
        <v>83148.31</v>
      </c>
      <c r="N917" s="6">
        <v>60371.69</v>
      </c>
      <c r="O917" s="7">
        <v>42.07</v>
      </c>
      <c r="P917" s="5" t="s">
        <v>41</v>
      </c>
    </row>
    <row r="918" spans="1:16" x14ac:dyDescent="0.3">
      <c r="A918" s="2">
        <v>2169</v>
      </c>
      <c r="B918" s="2" t="s">
        <v>46</v>
      </c>
      <c r="C918" s="2" t="s">
        <v>47</v>
      </c>
      <c r="D918" s="2" t="s">
        <v>36</v>
      </c>
      <c r="E918" s="2" t="s">
        <v>42</v>
      </c>
      <c r="F918" s="2" t="s">
        <v>20</v>
      </c>
      <c r="G918" s="2" t="s">
        <v>68</v>
      </c>
      <c r="H918" s="2">
        <v>141</v>
      </c>
      <c r="I918" s="3">
        <v>148</v>
      </c>
      <c r="J918" s="3">
        <v>20868</v>
      </c>
      <c r="K918" s="2">
        <v>0</v>
      </c>
      <c r="L918" s="3">
        <v>20868</v>
      </c>
      <c r="M918" s="3">
        <v>14531.97</v>
      </c>
      <c r="N918" s="3">
        <v>6336.03</v>
      </c>
      <c r="O918" s="4">
        <v>30.36</v>
      </c>
      <c r="P918" s="2" t="s">
        <v>22</v>
      </c>
    </row>
    <row r="919" spans="1:16" x14ac:dyDescent="0.3">
      <c r="A919" s="5">
        <v>1969</v>
      </c>
      <c r="B919" s="5" t="s">
        <v>34</v>
      </c>
      <c r="C919" s="5" t="s">
        <v>35</v>
      </c>
      <c r="D919" s="5" t="s">
        <v>36</v>
      </c>
      <c r="E919" s="5" t="s">
        <v>42</v>
      </c>
      <c r="F919" s="5" t="s">
        <v>20</v>
      </c>
      <c r="G919" s="5" t="s">
        <v>68</v>
      </c>
      <c r="H919" s="5">
        <v>99</v>
      </c>
      <c r="I919" s="6">
        <v>140</v>
      </c>
      <c r="J919" s="6">
        <v>13860</v>
      </c>
      <c r="K919" s="5">
        <v>5</v>
      </c>
      <c r="L919" s="6">
        <v>13167</v>
      </c>
      <c r="M919" s="6">
        <v>8984.93</v>
      </c>
      <c r="N919" s="6">
        <v>4182.07</v>
      </c>
      <c r="O919" s="7">
        <v>31.76</v>
      </c>
      <c r="P919" s="5" t="s">
        <v>29</v>
      </c>
    </row>
    <row r="920" spans="1:16" x14ac:dyDescent="0.3">
      <c r="A920" s="2">
        <v>1906</v>
      </c>
      <c r="B920" s="2" t="s">
        <v>34</v>
      </c>
      <c r="C920" s="2" t="s">
        <v>35</v>
      </c>
      <c r="D920" s="2" t="s">
        <v>36</v>
      </c>
      <c r="E920" s="2" t="s">
        <v>26</v>
      </c>
      <c r="F920" s="2" t="s">
        <v>37</v>
      </c>
      <c r="G920" s="2" t="s">
        <v>59</v>
      </c>
      <c r="H920" s="2">
        <v>162</v>
      </c>
      <c r="I920" s="3">
        <v>505</v>
      </c>
      <c r="J920" s="3">
        <v>81810</v>
      </c>
      <c r="K920" s="2">
        <v>10</v>
      </c>
      <c r="L920" s="3">
        <v>73629</v>
      </c>
      <c r="M920" s="3">
        <v>47757.96</v>
      </c>
      <c r="N920" s="3">
        <v>25871.040000000001</v>
      </c>
      <c r="O920" s="4">
        <v>35.14</v>
      </c>
      <c r="P920" s="2" t="s">
        <v>39</v>
      </c>
    </row>
    <row r="921" spans="1:16" x14ac:dyDescent="0.3">
      <c r="A921" s="5">
        <v>1509</v>
      </c>
      <c r="B921" s="5" t="s">
        <v>73</v>
      </c>
      <c r="C921" s="5" t="s">
        <v>74</v>
      </c>
      <c r="D921" s="5" t="s">
        <v>56</v>
      </c>
      <c r="E921" s="5" t="s">
        <v>26</v>
      </c>
      <c r="F921" s="5" t="s">
        <v>37</v>
      </c>
      <c r="G921" s="5" t="s">
        <v>82</v>
      </c>
      <c r="H921" s="5">
        <v>25</v>
      </c>
      <c r="I921" s="6">
        <v>1559</v>
      </c>
      <c r="J921" s="6">
        <v>38975</v>
      </c>
      <c r="K921" s="5">
        <v>0</v>
      </c>
      <c r="L921" s="6">
        <v>38975</v>
      </c>
      <c r="M921" s="6">
        <v>27213.25</v>
      </c>
      <c r="N921" s="6">
        <v>11761.75</v>
      </c>
      <c r="O921" s="7">
        <v>30.18</v>
      </c>
      <c r="P921" s="5" t="s">
        <v>22</v>
      </c>
    </row>
    <row r="922" spans="1:16" x14ac:dyDescent="0.3">
      <c r="A922" s="2">
        <v>1258</v>
      </c>
      <c r="B922" s="2" t="s">
        <v>52</v>
      </c>
      <c r="C922" s="2" t="s">
        <v>53</v>
      </c>
      <c r="D922" s="2" t="s">
        <v>25</v>
      </c>
      <c r="E922" s="2" t="s">
        <v>42</v>
      </c>
      <c r="F922" s="2" t="s">
        <v>37</v>
      </c>
      <c r="G922" s="2" t="s">
        <v>38</v>
      </c>
      <c r="H922" s="2">
        <v>56</v>
      </c>
      <c r="I922" s="3">
        <v>1951</v>
      </c>
      <c r="J922" s="3">
        <v>109256</v>
      </c>
      <c r="K922" s="2">
        <v>10</v>
      </c>
      <c r="L922" s="3">
        <v>98330.4</v>
      </c>
      <c r="M922" s="3">
        <v>66075.839999999997</v>
      </c>
      <c r="N922" s="3">
        <v>32254.560000000001</v>
      </c>
      <c r="O922" s="4">
        <v>32.799999999999997</v>
      </c>
      <c r="P922" s="2" t="s">
        <v>29</v>
      </c>
    </row>
    <row r="923" spans="1:16" x14ac:dyDescent="0.3">
      <c r="A923" s="5">
        <v>1538</v>
      </c>
      <c r="B923" s="5" t="s">
        <v>73</v>
      </c>
      <c r="C923" s="5" t="s">
        <v>74</v>
      </c>
      <c r="D923" s="5" t="s">
        <v>56</v>
      </c>
      <c r="E923" s="5" t="s">
        <v>19</v>
      </c>
      <c r="F923" s="5" t="s">
        <v>32</v>
      </c>
      <c r="G923" s="5" t="s">
        <v>81</v>
      </c>
      <c r="H923" s="5">
        <v>54</v>
      </c>
      <c r="I923" s="6">
        <v>13921</v>
      </c>
      <c r="J923" s="6">
        <v>751734</v>
      </c>
      <c r="K923" s="5">
        <v>15</v>
      </c>
      <c r="L923" s="6">
        <v>638973.9</v>
      </c>
      <c r="M923" s="6">
        <v>439635.76</v>
      </c>
      <c r="N923" s="6">
        <v>199338.14</v>
      </c>
      <c r="O923" s="7">
        <v>31.2</v>
      </c>
      <c r="P923" s="5" t="s">
        <v>61</v>
      </c>
    </row>
    <row r="924" spans="1:16" x14ac:dyDescent="0.3">
      <c r="A924" s="2">
        <v>1794</v>
      </c>
      <c r="B924" s="2" t="s">
        <v>30</v>
      </c>
      <c r="C924" s="2" t="s">
        <v>31</v>
      </c>
      <c r="D924" s="2" t="s">
        <v>18</v>
      </c>
      <c r="E924" s="2" t="s">
        <v>44</v>
      </c>
      <c r="F924" s="2" t="s">
        <v>20</v>
      </c>
      <c r="G924" s="2" t="s">
        <v>68</v>
      </c>
      <c r="H924" s="2">
        <v>123</v>
      </c>
      <c r="I924" s="3">
        <v>159</v>
      </c>
      <c r="J924" s="3">
        <v>19557</v>
      </c>
      <c r="K924" s="2">
        <v>0</v>
      </c>
      <c r="L924" s="3">
        <v>19557</v>
      </c>
      <c r="M924" s="3">
        <v>12281.1</v>
      </c>
      <c r="N924" s="3">
        <v>7275.9</v>
      </c>
      <c r="O924" s="4">
        <v>37.200000000000003</v>
      </c>
      <c r="P924" s="2" t="s">
        <v>22</v>
      </c>
    </row>
    <row r="925" spans="1:16" x14ac:dyDescent="0.3">
      <c r="A925" s="5">
        <v>1595</v>
      </c>
      <c r="B925" s="5" t="s">
        <v>73</v>
      </c>
      <c r="C925" s="5" t="s">
        <v>74</v>
      </c>
      <c r="D925" s="5" t="s">
        <v>56</v>
      </c>
      <c r="E925" s="5" t="s">
        <v>44</v>
      </c>
      <c r="F925" s="5" t="s">
        <v>20</v>
      </c>
      <c r="G925" s="5" t="s">
        <v>60</v>
      </c>
      <c r="H925" s="5">
        <v>72</v>
      </c>
      <c r="I925" s="6">
        <v>88</v>
      </c>
      <c r="J925" s="6">
        <v>6336</v>
      </c>
      <c r="K925" s="5">
        <v>20</v>
      </c>
      <c r="L925" s="6">
        <v>5068.8</v>
      </c>
      <c r="M925" s="6">
        <v>3387.53</v>
      </c>
      <c r="N925" s="6">
        <v>1681.27</v>
      </c>
      <c r="O925" s="7">
        <v>33.17</v>
      </c>
      <c r="P925" s="5" t="s">
        <v>45</v>
      </c>
    </row>
    <row r="926" spans="1:16" x14ac:dyDescent="0.3">
      <c r="A926" s="2">
        <v>2054</v>
      </c>
      <c r="B926" s="2" t="s">
        <v>76</v>
      </c>
      <c r="C926" s="2" t="s">
        <v>77</v>
      </c>
      <c r="D926" s="2" t="s">
        <v>36</v>
      </c>
      <c r="E926" s="2" t="s">
        <v>42</v>
      </c>
      <c r="F926" s="2" t="s">
        <v>27</v>
      </c>
      <c r="G926" s="2" t="s">
        <v>66</v>
      </c>
      <c r="H926" s="2">
        <v>139</v>
      </c>
      <c r="I926" s="3">
        <v>773</v>
      </c>
      <c r="J926" s="3">
        <v>107447</v>
      </c>
      <c r="K926" s="2">
        <v>10</v>
      </c>
      <c r="L926" s="3">
        <v>96702.3</v>
      </c>
      <c r="M926" s="3">
        <v>67119.83</v>
      </c>
      <c r="N926" s="3">
        <v>29582.47</v>
      </c>
      <c r="O926" s="4">
        <v>30.59</v>
      </c>
      <c r="P926" s="2" t="s">
        <v>50</v>
      </c>
    </row>
    <row r="927" spans="1:16" x14ac:dyDescent="0.3">
      <c r="A927" s="5">
        <v>1681</v>
      </c>
      <c r="B927" s="5" t="s">
        <v>16</v>
      </c>
      <c r="C927" s="5" t="s">
        <v>17</v>
      </c>
      <c r="D927" s="5" t="s">
        <v>18</v>
      </c>
      <c r="E927" s="5" t="s">
        <v>44</v>
      </c>
      <c r="F927" s="5" t="s">
        <v>37</v>
      </c>
      <c r="G927" s="5" t="s">
        <v>59</v>
      </c>
      <c r="H927" s="5">
        <v>72</v>
      </c>
      <c r="I927" s="6">
        <v>539</v>
      </c>
      <c r="J927" s="6">
        <v>38808</v>
      </c>
      <c r="K927" s="5">
        <v>5</v>
      </c>
      <c r="L927" s="6">
        <v>36867.599999999999</v>
      </c>
      <c r="M927" s="6">
        <v>25135.27</v>
      </c>
      <c r="N927" s="6">
        <v>11732.33</v>
      </c>
      <c r="O927" s="7">
        <v>31.82</v>
      </c>
      <c r="P927" s="5" t="s">
        <v>29</v>
      </c>
    </row>
    <row r="928" spans="1:16" x14ac:dyDescent="0.3">
      <c r="A928" s="2">
        <v>1535</v>
      </c>
      <c r="B928" s="2" t="s">
        <v>73</v>
      </c>
      <c r="C928" s="2" t="s">
        <v>74</v>
      </c>
      <c r="D928" s="2" t="s">
        <v>56</v>
      </c>
      <c r="E928" s="2" t="s">
        <v>19</v>
      </c>
      <c r="F928" s="2" t="s">
        <v>37</v>
      </c>
      <c r="G928" s="2" t="s">
        <v>67</v>
      </c>
      <c r="H928" s="2">
        <v>88</v>
      </c>
      <c r="I928" s="3">
        <v>1804</v>
      </c>
      <c r="J928" s="3">
        <v>158752</v>
      </c>
      <c r="K928" s="2">
        <v>0</v>
      </c>
      <c r="L928" s="3">
        <v>158752</v>
      </c>
      <c r="M928" s="3">
        <v>99210.71</v>
      </c>
      <c r="N928" s="3">
        <v>59541.29</v>
      </c>
      <c r="O928" s="4">
        <v>37.51</v>
      </c>
      <c r="P928" s="2" t="s">
        <v>61</v>
      </c>
    </row>
    <row r="929" spans="1:16" x14ac:dyDescent="0.3">
      <c r="A929" s="5">
        <v>1124</v>
      </c>
      <c r="B929" s="5" t="s">
        <v>23</v>
      </c>
      <c r="C929" s="5" t="s">
        <v>24</v>
      </c>
      <c r="D929" s="5" t="s">
        <v>25</v>
      </c>
      <c r="E929" s="5" t="s">
        <v>26</v>
      </c>
      <c r="F929" s="5" t="s">
        <v>48</v>
      </c>
      <c r="G929" s="5" t="s">
        <v>51</v>
      </c>
      <c r="H929" s="5">
        <v>106</v>
      </c>
      <c r="I929" s="6">
        <v>1926</v>
      </c>
      <c r="J929" s="6">
        <v>204156</v>
      </c>
      <c r="K929" s="5">
        <v>0</v>
      </c>
      <c r="L929" s="6">
        <v>204156</v>
      </c>
      <c r="M929" s="6">
        <v>118151.44</v>
      </c>
      <c r="N929" s="6">
        <v>86004.56</v>
      </c>
      <c r="O929" s="7">
        <v>42.13</v>
      </c>
      <c r="P929" s="5" t="s">
        <v>39</v>
      </c>
    </row>
    <row r="930" spans="1:16" x14ac:dyDescent="0.3">
      <c r="A930" s="2">
        <v>1956</v>
      </c>
      <c r="B930" s="2" t="s">
        <v>34</v>
      </c>
      <c r="C930" s="2" t="s">
        <v>35</v>
      </c>
      <c r="D930" s="2" t="s">
        <v>36</v>
      </c>
      <c r="E930" s="2" t="s">
        <v>42</v>
      </c>
      <c r="F930" s="2" t="s">
        <v>37</v>
      </c>
      <c r="G930" s="2" t="s">
        <v>59</v>
      </c>
      <c r="H930" s="2">
        <v>84</v>
      </c>
      <c r="I930" s="3">
        <v>519</v>
      </c>
      <c r="J930" s="3">
        <v>43596</v>
      </c>
      <c r="K930" s="2">
        <v>20</v>
      </c>
      <c r="L930" s="3">
        <v>34876.800000000003</v>
      </c>
      <c r="M930" s="3">
        <v>19883.72</v>
      </c>
      <c r="N930" s="3">
        <v>14993.08</v>
      </c>
      <c r="O930" s="4">
        <v>42.99</v>
      </c>
      <c r="P930" s="2" t="s">
        <v>39</v>
      </c>
    </row>
    <row r="931" spans="1:16" x14ac:dyDescent="0.3">
      <c r="A931" s="5">
        <v>1513</v>
      </c>
      <c r="B931" s="5" t="s">
        <v>73</v>
      </c>
      <c r="C931" s="5" t="s">
        <v>74</v>
      </c>
      <c r="D931" s="5" t="s">
        <v>56</v>
      </c>
      <c r="E931" s="5" t="s">
        <v>26</v>
      </c>
      <c r="F931" s="5" t="s">
        <v>32</v>
      </c>
      <c r="G931" s="5" t="s">
        <v>81</v>
      </c>
      <c r="H931" s="5">
        <v>120</v>
      </c>
      <c r="I931" s="6">
        <v>13060</v>
      </c>
      <c r="J931" s="6">
        <v>1567200</v>
      </c>
      <c r="K931" s="5">
        <v>10</v>
      </c>
      <c r="L931" s="6">
        <v>1410480</v>
      </c>
      <c r="M931" s="6">
        <v>928610.39</v>
      </c>
      <c r="N931" s="6">
        <v>481869.61</v>
      </c>
      <c r="O931" s="7">
        <v>34.159999999999997</v>
      </c>
      <c r="P931" s="5" t="s">
        <v>61</v>
      </c>
    </row>
    <row r="932" spans="1:16" x14ac:dyDescent="0.3">
      <c r="A932" s="5">
        <v>1585</v>
      </c>
      <c r="B932" s="5" t="s">
        <v>73</v>
      </c>
      <c r="C932" s="5" t="s">
        <v>74</v>
      </c>
      <c r="D932" s="5" t="s">
        <v>56</v>
      </c>
      <c r="E932" s="5" t="s">
        <v>44</v>
      </c>
      <c r="F932" s="5" t="s">
        <v>37</v>
      </c>
      <c r="G932" s="5" t="s">
        <v>67</v>
      </c>
      <c r="H932" s="5">
        <v>65</v>
      </c>
      <c r="I932" s="6">
        <v>1669</v>
      </c>
      <c r="J932" s="6">
        <v>108485</v>
      </c>
      <c r="K932" s="5">
        <v>0</v>
      </c>
      <c r="L932" s="6">
        <v>108485</v>
      </c>
      <c r="M932" s="6">
        <v>71584.13</v>
      </c>
      <c r="N932" s="6">
        <v>36900.870000000003</v>
      </c>
      <c r="O932" s="7">
        <v>34.01</v>
      </c>
      <c r="P932" s="5" t="s">
        <v>22</v>
      </c>
    </row>
    <row r="933" spans="1:16" x14ac:dyDescent="0.3">
      <c r="A933" s="2">
        <v>2142</v>
      </c>
      <c r="B933" s="2" t="s">
        <v>46</v>
      </c>
      <c r="C933" s="2" t="s">
        <v>47</v>
      </c>
      <c r="D933" s="2" t="s">
        <v>36</v>
      </c>
      <c r="E933" s="2" t="s">
        <v>19</v>
      </c>
      <c r="F933" s="2" t="s">
        <v>20</v>
      </c>
      <c r="G933" s="2" t="s">
        <v>80</v>
      </c>
      <c r="H933" s="2">
        <v>192</v>
      </c>
      <c r="I933" s="3">
        <v>74</v>
      </c>
      <c r="J933" s="3">
        <v>14208</v>
      </c>
      <c r="K933" s="2">
        <v>10</v>
      </c>
      <c r="L933" s="3">
        <v>12787.2</v>
      </c>
      <c r="M933" s="3">
        <v>7925.54</v>
      </c>
      <c r="N933" s="3">
        <v>4861.66</v>
      </c>
      <c r="O933" s="4">
        <v>38.020000000000003</v>
      </c>
      <c r="P933" s="2" t="s">
        <v>43</v>
      </c>
    </row>
    <row r="934" spans="1:16" x14ac:dyDescent="0.3">
      <c r="A934" s="5">
        <v>1242</v>
      </c>
      <c r="B934" s="5" t="s">
        <v>52</v>
      </c>
      <c r="C934" s="5" t="s">
        <v>53</v>
      </c>
      <c r="D934" s="5" t="s">
        <v>25</v>
      </c>
      <c r="E934" s="5" t="s">
        <v>19</v>
      </c>
      <c r="F934" s="5" t="s">
        <v>20</v>
      </c>
      <c r="G934" s="5" t="s">
        <v>80</v>
      </c>
      <c r="H934" s="5">
        <v>43</v>
      </c>
      <c r="I934" s="6">
        <v>74</v>
      </c>
      <c r="J934" s="6">
        <v>3182</v>
      </c>
      <c r="K934" s="5">
        <v>5</v>
      </c>
      <c r="L934" s="6">
        <v>3022.9</v>
      </c>
      <c r="M934" s="6">
        <v>1741.27</v>
      </c>
      <c r="N934" s="6">
        <v>1281.6300000000001</v>
      </c>
      <c r="O934" s="7">
        <v>42.4</v>
      </c>
      <c r="P934" s="5" t="s">
        <v>61</v>
      </c>
    </row>
    <row r="935" spans="1:16" x14ac:dyDescent="0.3">
      <c r="A935" s="2">
        <v>1144</v>
      </c>
      <c r="B935" s="2" t="s">
        <v>23</v>
      </c>
      <c r="C935" s="2" t="s">
        <v>24</v>
      </c>
      <c r="D935" s="2" t="s">
        <v>25</v>
      </c>
      <c r="E935" s="2" t="s">
        <v>19</v>
      </c>
      <c r="F935" s="2" t="s">
        <v>20</v>
      </c>
      <c r="G935" s="2" t="s">
        <v>68</v>
      </c>
      <c r="H935" s="2">
        <v>121</v>
      </c>
      <c r="I935" s="3">
        <v>155</v>
      </c>
      <c r="J935" s="3">
        <v>18755</v>
      </c>
      <c r="K935" s="2">
        <v>5</v>
      </c>
      <c r="L935" s="3">
        <v>17817.25</v>
      </c>
      <c r="M935" s="3">
        <v>11339.56</v>
      </c>
      <c r="N935" s="3">
        <v>6477.69</v>
      </c>
      <c r="O935" s="4">
        <v>36.36</v>
      </c>
      <c r="P935" s="2" t="s">
        <v>61</v>
      </c>
    </row>
    <row r="936" spans="1:16" x14ac:dyDescent="0.3">
      <c r="A936" s="5">
        <v>2101</v>
      </c>
      <c r="B936" s="5" t="s">
        <v>46</v>
      </c>
      <c r="C936" s="5" t="s">
        <v>47</v>
      </c>
      <c r="D936" s="5" t="s">
        <v>36</v>
      </c>
      <c r="E936" s="5" t="s">
        <v>26</v>
      </c>
      <c r="F936" s="5" t="s">
        <v>27</v>
      </c>
      <c r="G936" s="5" t="s">
        <v>85</v>
      </c>
      <c r="H936" s="5">
        <v>164</v>
      </c>
      <c r="I936" s="6">
        <v>12805</v>
      </c>
      <c r="J936" s="6">
        <v>2100020</v>
      </c>
      <c r="K936" s="5">
        <v>0</v>
      </c>
      <c r="L936" s="6">
        <v>2100020</v>
      </c>
      <c r="M936" s="6">
        <v>1412620.51</v>
      </c>
      <c r="N936" s="6">
        <v>687399.49</v>
      </c>
      <c r="O936" s="7">
        <v>32.729999999999997</v>
      </c>
      <c r="P936" s="5" t="s">
        <v>29</v>
      </c>
    </row>
    <row r="937" spans="1:16" x14ac:dyDescent="0.3">
      <c r="A937" s="2">
        <v>1742</v>
      </c>
      <c r="B937" s="2" t="s">
        <v>30</v>
      </c>
      <c r="C937" s="2" t="s">
        <v>31</v>
      </c>
      <c r="D937" s="2" t="s">
        <v>18</v>
      </c>
      <c r="E937" s="2" t="s">
        <v>19</v>
      </c>
      <c r="F937" s="2" t="s">
        <v>20</v>
      </c>
      <c r="G937" s="2" t="s">
        <v>80</v>
      </c>
      <c r="H937" s="2">
        <v>144</v>
      </c>
      <c r="I937" s="3">
        <v>79</v>
      </c>
      <c r="J937" s="3">
        <v>11376</v>
      </c>
      <c r="K937" s="2">
        <v>20</v>
      </c>
      <c r="L937" s="3">
        <v>9100.7999999999993</v>
      </c>
      <c r="M937" s="3">
        <v>5865.76</v>
      </c>
      <c r="N937" s="3">
        <v>3235.04</v>
      </c>
      <c r="O937" s="4">
        <v>35.549999999999997</v>
      </c>
      <c r="P937" s="2" t="s">
        <v>22</v>
      </c>
    </row>
    <row r="938" spans="1:16" x14ac:dyDescent="0.3">
      <c r="A938" s="5">
        <v>1860</v>
      </c>
      <c r="B938" s="5" t="s">
        <v>70</v>
      </c>
      <c r="C938" s="5" t="s">
        <v>71</v>
      </c>
      <c r="D938" s="5" t="s">
        <v>18</v>
      </c>
      <c r="E938" s="5" t="s">
        <v>42</v>
      </c>
      <c r="F938" s="5" t="s">
        <v>37</v>
      </c>
      <c r="G938" s="5" t="s">
        <v>67</v>
      </c>
      <c r="H938" s="5">
        <v>97</v>
      </c>
      <c r="I938" s="6">
        <v>1893</v>
      </c>
      <c r="J938" s="6">
        <v>183621</v>
      </c>
      <c r="K938" s="5">
        <v>0</v>
      </c>
      <c r="L938" s="6">
        <v>183621</v>
      </c>
      <c r="M938" s="6">
        <v>110463.22</v>
      </c>
      <c r="N938" s="6">
        <v>73157.78</v>
      </c>
      <c r="O938" s="7">
        <v>39.840000000000003</v>
      </c>
      <c r="P938" s="5" t="s">
        <v>39</v>
      </c>
    </row>
    <row r="939" spans="1:16" x14ac:dyDescent="0.3">
      <c r="A939" s="2">
        <v>1966</v>
      </c>
      <c r="B939" s="2" t="s">
        <v>34</v>
      </c>
      <c r="C939" s="2" t="s">
        <v>35</v>
      </c>
      <c r="D939" s="2" t="s">
        <v>36</v>
      </c>
      <c r="E939" s="2" t="s">
        <v>42</v>
      </c>
      <c r="F939" s="2" t="s">
        <v>20</v>
      </c>
      <c r="G939" s="2" t="s">
        <v>64</v>
      </c>
      <c r="H939" s="2">
        <v>100</v>
      </c>
      <c r="I939" s="3">
        <v>197</v>
      </c>
      <c r="J939" s="3">
        <v>19700</v>
      </c>
      <c r="K939" s="2">
        <v>0</v>
      </c>
      <c r="L939" s="3">
        <v>19700</v>
      </c>
      <c r="M939" s="3">
        <v>12873.81</v>
      </c>
      <c r="N939" s="3">
        <v>6826.19</v>
      </c>
      <c r="O939" s="4">
        <v>34.65</v>
      </c>
      <c r="P939" s="2" t="s">
        <v>61</v>
      </c>
    </row>
    <row r="940" spans="1:16" x14ac:dyDescent="0.3">
      <c r="A940" s="5">
        <v>1407</v>
      </c>
      <c r="B940" s="5" t="s">
        <v>54</v>
      </c>
      <c r="C940" s="5" t="s">
        <v>55</v>
      </c>
      <c r="D940" s="5" t="s">
        <v>56</v>
      </c>
      <c r="E940" s="5" t="s">
        <v>26</v>
      </c>
      <c r="F940" s="5" t="s">
        <v>37</v>
      </c>
      <c r="G940" s="5" t="s">
        <v>79</v>
      </c>
      <c r="H940" s="5">
        <v>154</v>
      </c>
      <c r="I940" s="6">
        <v>1125</v>
      </c>
      <c r="J940" s="6">
        <v>173250</v>
      </c>
      <c r="K940" s="5">
        <v>5</v>
      </c>
      <c r="L940" s="6">
        <v>164587.5</v>
      </c>
      <c r="M940" s="6">
        <v>102358.47</v>
      </c>
      <c r="N940" s="6">
        <v>62229.03</v>
      </c>
      <c r="O940" s="7">
        <v>37.81</v>
      </c>
      <c r="P940" s="5" t="s">
        <v>41</v>
      </c>
    </row>
    <row r="941" spans="1:16" x14ac:dyDescent="0.3">
      <c r="A941" s="2">
        <v>2132</v>
      </c>
      <c r="B941" s="2" t="s">
        <v>46</v>
      </c>
      <c r="C941" s="2" t="s">
        <v>47</v>
      </c>
      <c r="D941" s="2" t="s">
        <v>36</v>
      </c>
      <c r="E941" s="2" t="s">
        <v>19</v>
      </c>
      <c r="F941" s="2" t="s">
        <v>37</v>
      </c>
      <c r="G941" s="2" t="s">
        <v>79</v>
      </c>
      <c r="H941" s="2">
        <v>105</v>
      </c>
      <c r="I941" s="3">
        <v>1091</v>
      </c>
      <c r="J941" s="3">
        <v>114555</v>
      </c>
      <c r="K941" s="2">
        <v>20</v>
      </c>
      <c r="L941" s="3">
        <v>91644</v>
      </c>
      <c r="M941" s="3">
        <v>60487.01</v>
      </c>
      <c r="N941" s="3">
        <v>31156.99</v>
      </c>
      <c r="O941" s="4">
        <v>34</v>
      </c>
      <c r="P941" s="2" t="s">
        <v>43</v>
      </c>
    </row>
    <row r="942" spans="1:16" x14ac:dyDescent="0.3">
      <c r="A942" s="5">
        <v>2164</v>
      </c>
      <c r="B942" s="5" t="s">
        <v>46</v>
      </c>
      <c r="C942" s="5" t="s">
        <v>47</v>
      </c>
      <c r="D942" s="5" t="s">
        <v>36</v>
      </c>
      <c r="E942" s="5" t="s">
        <v>42</v>
      </c>
      <c r="F942" s="5" t="s">
        <v>32</v>
      </c>
      <c r="G942" s="5" t="s">
        <v>33</v>
      </c>
      <c r="H942" s="5">
        <v>128</v>
      </c>
      <c r="I942" s="6">
        <v>9580</v>
      </c>
      <c r="J942" s="6">
        <v>1226240</v>
      </c>
      <c r="K942" s="5">
        <v>0</v>
      </c>
      <c r="L942" s="6">
        <v>1226240</v>
      </c>
      <c r="M942" s="6">
        <v>821502.84</v>
      </c>
      <c r="N942" s="6">
        <v>404737.16</v>
      </c>
      <c r="O942" s="7">
        <v>33.01</v>
      </c>
      <c r="P942" s="5" t="s">
        <v>39</v>
      </c>
    </row>
    <row r="943" spans="1:16" x14ac:dyDescent="0.3">
      <c r="A943" s="2">
        <v>1674</v>
      </c>
      <c r="B943" s="2" t="s">
        <v>16</v>
      </c>
      <c r="C943" s="2" t="s">
        <v>17</v>
      </c>
      <c r="D943" s="2" t="s">
        <v>18</v>
      </c>
      <c r="E943" s="2" t="s">
        <v>42</v>
      </c>
      <c r="F943" s="2" t="s">
        <v>48</v>
      </c>
      <c r="G943" s="2" t="s">
        <v>51</v>
      </c>
      <c r="H943" s="2">
        <v>167</v>
      </c>
      <c r="I943" s="3">
        <v>2075</v>
      </c>
      <c r="J943" s="3">
        <v>346525</v>
      </c>
      <c r="K943" s="2">
        <v>20</v>
      </c>
      <c r="L943" s="3">
        <v>277220</v>
      </c>
      <c r="M943" s="3">
        <v>166218.49</v>
      </c>
      <c r="N943" s="3">
        <v>111001.51</v>
      </c>
      <c r="O943" s="4">
        <v>40.04</v>
      </c>
      <c r="P943" s="2" t="s">
        <v>43</v>
      </c>
    </row>
    <row r="944" spans="1:16" x14ac:dyDescent="0.3">
      <c r="A944" s="5">
        <v>1688</v>
      </c>
      <c r="B944" s="5" t="s">
        <v>16</v>
      </c>
      <c r="C944" s="5" t="s">
        <v>17</v>
      </c>
      <c r="D944" s="5" t="s">
        <v>18</v>
      </c>
      <c r="E944" s="5" t="s">
        <v>44</v>
      </c>
      <c r="F944" s="5" t="s">
        <v>32</v>
      </c>
      <c r="G944" s="5" t="s">
        <v>81</v>
      </c>
      <c r="H944" s="5">
        <v>62</v>
      </c>
      <c r="I944" s="6">
        <v>13480</v>
      </c>
      <c r="J944" s="6">
        <v>835760</v>
      </c>
      <c r="K944" s="5">
        <v>5</v>
      </c>
      <c r="L944" s="6">
        <v>793972</v>
      </c>
      <c r="M944" s="6">
        <v>553147.85</v>
      </c>
      <c r="N944" s="6">
        <v>240824.15</v>
      </c>
      <c r="O944" s="7">
        <v>30.33</v>
      </c>
      <c r="P944" s="5" t="s">
        <v>41</v>
      </c>
    </row>
    <row r="945" spans="1:16" x14ac:dyDescent="0.3">
      <c r="A945" s="2">
        <v>1373</v>
      </c>
      <c r="B945" s="2" t="s">
        <v>57</v>
      </c>
      <c r="C945" s="2" t="s">
        <v>58</v>
      </c>
      <c r="D945" s="2" t="s">
        <v>56</v>
      </c>
      <c r="E945" s="2" t="s">
        <v>42</v>
      </c>
      <c r="F945" s="2" t="s">
        <v>48</v>
      </c>
      <c r="G945" s="2" t="s">
        <v>49</v>
      </c>
      <c r="H945" s="2">
        <v>100</v>
      </c>
      <c r="I945" s="3">
        <v>812</v>
      </c>
      <c r="J945" s="3">
        <v>81200</v>
      </c>
      <c r="K945" s="2">
        <v>5</v>
      </c>
      <c r="L945" s="3">
        <v>77140</v>
      </c>
      <c r="M945" s="3">
        <v>49990.77</v>
      </c>
      <c r="N945" s="3">
        <v>27149.23</v>
      </c>
      <c r="O945" s="4">
        <v>35.19</v>
      </c>
      <c r="P945" s="2" t="s">
        <v>45</v>
      </c>
    </row>
    <row r="946" spans="1:16" x14ac:dyDescent="0.3">
      <c r="A946" s="5">
        <v>1983</v>
      </c>
      <c r="B946" s="5" t="s">
        <v>34</v>
      </c>
      <c r="C946" s="5" t="s">
        <v>35</v>
      </c>
      <c r="D946" s="5" t="s">
        <v>36</v>
      </c>
      <c r="E946" s="5" t="s">
        <v>44</v>
      </c>
      <c r="F946" s="5" t="s">
        <v>37</v>
      </c>
      <c r="G946" s="5" t="s">
        <v>38</v>
      </c>
      <c r="H946" s="5">
        <v>49</v>
      </c>
      <c r="I946" s="6">
        <v>1914</v>
      </c>
      <c r="J946" s="6">
        <v>93786</v>
      </c>
      <c r="K946" s="5">
        <v>0</v>
      </c>
      <c r="L946" s="6">
        <v>93786</v>
      </c>
      <c r="M946" s="6">
        <v>65176.02</v>
      </c>
      <c r="N946" s="6">
        <v>28609.98</v>
      </c>
      <c r="O946" s="7">
        <v>30.51</v>
      </c>
      <c r="P946" s="5" t="s">
        <v>41</v>
      </c>
    </row>
    <row r="947" spans="1:16" x14ac:dyDescent="0.3">
      <c r="A947" s="2">
        <v>2086</v>
      </c>
      <c r="B947" s="2" t="s">
        <v>76</v>
      </c>
      <c r="C947" s="2" t="s">
        <v>77</v>
      </c>
      <c r="D947" s="2" t="s">
        <v>36</v>
      </c>
      <c r="E947" s="2" t="s">
        <v>44</v>
      </c>
      <c r="F947" s="2" t="s">
        <v>32</v>
      </c>
      <c r="G947" s="2" t="s">
        <v>40</v>
      </c>
      <c r="H947" s="2">
        <v>55</v>
      </c>
      <c r="I947" s="3">
        <v>17387</v>
      </c>
      <c r="J947" s="3">
        <v>956285</v>
      </c>
      <c r="K947" s="2">
        <v>15</v>
      </c>
      <c r="L947" s="3">
        <v>812842.25</v>
      </c>
      <c r="M947" s="3">
        <v>517127.02</v>
      </c>
      <c r="N947" s="3">
        <v>295715.23</v>
      </c>
      <c r="O947" s="4">
        <v>36.380000000000003</v>
      </c>
      <c r="P947" s="2" t="s">
        <v>39</v>
      </c>
    </row>
    <row r="948" spans="1:16" x14ac:dyDescent="0.3">
      <c r="A948" s="5">
        <v>1923</v>
      </c>
      <c r="B948" s="5" t="s">
        <v>34</v>
      </c>
      <c r="C948" s="5" t="s">
        <v>35</v>
      </c>
      <c r="D948" s="5" t="s">
        <v>36</v>
      </c>
      <c r="E948" s="5" t="s">
        <v>26</v>
      </c>
      <c r="F948" s="5" t="s">
        <v>48</v>
      </c>
      <c r="G948" s="5" t="s">
        <v>49</v>
      </c>
      <c r="H948" s="5">
        <v>161</v>
      </c>
      <c r="I948" s="6">
        <v>744</v>
      </c>
      <c r="J948" s="6">
        <v>119784</v>
      </c>
      <c r="K948" s="5">
        <v>10</v>
      </c>
      <c r="L948" s="6">
        <v>107805.6</v>
      </c>
      <c r="M948" s="6">
        <v>60627.9</v>
      </c>
      <c r="N948" s="6">
        <v>47177.7</v>
      </c>
      <c r="O948" s="7">
        <v>43.76</v>
      </c>
      <c r="P948" s="5" t="s">
        <v>43</v>
      </c>
    </row>
    <row r="949" spans="1:16" x14ac:dyDescent="0.3">
      <c r="A949" s="2">
        <v>1066</v>
      </c>
      <c r="B949" s="2" t="s">
        <v>62</v>
      </c>
      <c r="C949" s="2" t="s">
        <v>63</v>
      </c>
      <c r="D949" s="2" t="s">
        <v>25</v>
      </c>
      <c r="E949" s="2" t="s">
        <v>42</v>
      </c>
      <c r="F949" s="2" t="s">
        <v>20</v>
      </c>
      <c r="G949" s="2" t="s">
        <v>64</v>
      </c>
      <c r="H949" s="2">
        <v>104</v>
      </c>
      <c r="I949" s="3">
        <v>215</v>
      </c>
      <c r="J949" s="3">
        <v>22360</v>
      </c>
      <c r="K949" s="2">
        <v>5</v>
      </c>
      <c r="L949" s="3">
        <v>21242</v>
      </c>
      <c r="M949" s="3">
        <v>12533.22</v>
      </c>
      <c r="N949" s="3">
        <v>8708.7800000000007</v>
      </c>
      <c r="O949" s="4">
        <v>41</v>
      </c>
      <c r="P949" s="2" t="s">
        <v>29</v>
      </c>
    </row>
    <row r="950" spans="1:16" x14ac:dyDescent="0.3">
      <c r="A950" s="5">
        <v>1888</v>
      </c>
      <c r="B950" s="5" t="s">
        <v>70</v>
      </c>
      <c r="C950" s="5" t="s">
        <v>71</v>
      </c>
      <c r="D950" s="5" t="s">
        <v>18</v>
      </c>
      <c r="E950" s="5" t="s">
        <v>44</v>
      </c>
      <c r="F950" s="5" t="s">
        <v>32</v>
      </c>
      <c r="G950" s="5" t="s">
        <v>81</v>
      </c>
      <c r="H950" s="5">
        <v>55</v>
      </c>
      <c r="I950" s="6">
        <v>12711</v>
      </c>
      <c r="J950" s="6">
        <v>699105</v>
      </c>
      <c r="K950" s="5">
        <v>20</v>
      </c>
      <c r="L950" s="6">
        <v>559284</v>
      </c>
      <c r="M950" s="6">
        <v>354504.24</v>
      </c>
      <c r="N950" s="6">
        <v>204779.76</v>
      </c>
      <c r="O950" s="7">
        <v>36.61</v>
      </c>
      <c r="P950" s="5" t="s">
        <v>39</v>
      </c>
    </row>
    <row r="951" spans="1:16" x14ac:dyDescent="0.3">
      <c r="A951" s="2">
        <v>1306</v>
      </c>
      <c r="B951" s="2" t="s">
        <v>57</v>
      </c>
      <c r="C951" s="2" t="s">
        <v>58</v>
      </c>
      <c r="D951" s="2" t="s">
        <v>56</v>
      </c>
      <c r="E951" s="2" t="s">
        <v>26</v>
      </c>
      <c r="F951" s="2" t="s">
        <v>37</v>
      </c>
      <c r="G951" s="2" t="s">
        <v>59</v>
      </c>
      <c r="H951" s="2">
        <v>164</v>
      </c>
      <c r="I951" s="3">
        <v>479</v>
      </c>
      <c r="J951" s="3">
        <v>78556</v>
      </c>
      <c r="K951" s="2">
        <v>20</v>
      </c>
      <c r="L951" s="3">
        <v>62844.800000000003</v>
      </c>
      <c r="M951" s="3">
        <v>36451.67</v>
      </c>
      <c r="N951" s="3">
        <v>26393.13</v>
      </c>
      <c r="O951" s="4">
        <v>42</v>
      </c>
      <c r="P951" s="2" t="s">
        <v>61</v>
      </c>
    </row>
    <row r="952" spans="1:16" x14ac:dyDescent="0.3">
      <c r="A952" s="5">
        <v>1617</v>
      </c>
      <c r="B952" s="5" t="s">
        <v>16</v>
      </c>
      <c r="C952" s="5" t="s">
        <v>17</v>
      </c>
      <c r="D952" s="5" t="s">
        <v>18</v>
      </c>
      <c r="E952" s="5" t="s">
        <v>26</v>
      </c>
      <c r="F952" s="5" t="s">
        <v>20</v>
      </c>
      <c r="G952" s="5" t="s">
        <v>80</v>
      </c>
      <c r="H952" s="5">
        <v>154</v>
      </c>
      <c r="I952" s="6">
        <v>82</v>
      </c>
      <c r="J952" s="6">
        <v>12628</v>
      </c>
      <c r="K952" s="5">
        <v>15</v>
      </c>
      <c r="L952" s="6">
        <v>10733.8</v>
      </c>
      <c r="M952" s="6">
        <v>6084.75</v>
      </c>
      <c r="N952" s="6">
        <v>4649.05</v>
      </c>
      <c r="O952" s="7">
        <v>43.31</v>
      </c>
      <c r="P952" s="5" t="s">
        <v>61</v>
      </c>
    </row>
    <row r="953" spans="1:16" x14ac:dyDescent="0.3">
      <c r="A953" s="2">
        <v>1322</v>
      </c>
      <c r="B953" s="2" t="s">
        <v>57</v>
      </c>
      <c r="C953" s="2" t="s">
        <v>58</v>
      </c>
      <c r="D953" s="2" t="s">
        <v>56</v>
      </c>
      <c r="E953" s="2" t="s">
        <v>26</v>
      </c>
      <c r="F953" s="2" t="s">
        <v>48</v>
      </c>
      <c r="G953" s="2" t="s">
        <v>78</v>
      </c>
      <c r="H953" s="2">
        <v>93</v>
      </c>
      <c r="I953" s="3">
        <v>615</v>
      </c>
      <c r="J953" s="3">
        <v>57195</v>
      </c>
      <c r="K953" s="2">
        <v>5</v>
      </c>
      <c r="L953" s="3">
        <v>54335.25</v>
      </c>
      <c r="M953" s="3">
        <v>35116.120000000003</v>
      </c>
      <c r="N953" s="3">
        <v>19219.13</v>
      </c>
      <c r="O953" s="4">
        <v>35.369999999999997</v>
      </c>
      <c r="P953" s="2" t="s">
        <v>50</v>
      </c>
    </row>
    <row r="954" spans="1:16" x14ac:dyDescent="0.3">
      <c r="A954" s="5">
        <v>1086</v>
      </c>
      <c r="B954" s="5" t="s">
        <v>62</v>
      </c>
      <c r="C954" s="5" t="s">
        <v>63</v>
      </c>
      <c r="D954" s="5" t="s">
        <v>25</v>
      </c>
      <c r="E954" s="5" t="s">
        <v>44</v>
      </c>
      <c r="F954" s="5" t="s">
        <v>32</v>
      </c>
      <c r="G954" s="5" t="s">
        <v>40</v>
      </c>
      <c r="H954" s="5">
        <v>34</v>
      </c>
      <c r="I954" s="6">
        <v>19649</v>
      </c>
      <c r="J954" s="6">
        <v>668066</v>
      </c>
      <c r="K954" s="5">
        <v>20</v>
      </c>
      <c r="L954" s="6">
        <v>534452.80000000005</v>
      </c>
      <c r="M954" s="6">
        <v>297974.94</v>
      </c>
      <c r="N954" s="6">
        <v>236477.86</v>
      </c>
      <c r="O954" s="7">
        <v>44.25</v>
      </c>
      <c r="P954" s="5" t="s">
        <v>45</v>
      </c>
    </row>
    <row r="955" spans="1:16" x14ac:dyDescent="0.3">
      <c r="A955" s="2">
        <v>1919</v>
      </c>
      <c r="B955" s="2" t="s">
        <v>34</v>
      </c>
      <c r="C955" s="2" t="s">
        <v>35</v>
      </c>
      <c r="D955" s="2" t="s">
        <v>36</v>
      </c>
      <c r="E955" s="2" t="s">
        <v>26</v>
      </c>
      <c r="F955" s="2" t="s">
        <v>20</v>
      </c>
      <c r="G955" s="2" t="s">
        <v>68</v>
      </c>
      <c r="H955" s="2">
        <v>175</v>
      </c>
      <c r="I955" s="3">
        <v>142</v>
      </c>
      <c r="J955" s="3">
        <v>24850</v>
      </c>
      <c r="K955" s="2">
        <v>0</v>
      </c>
      <c r="L955" s="3">
        <v>24850</v>
      </c>
      <c r="M955" s="3">
        <v>16030.31</v>
      </c>
      <c r="N955" s="3">
        <v>8819.69</v>
      </c>
      <c r="O955" s="4">
        <v>35.49</v>
      </c>
      <c r="P955" s="2" t="s">
        <v>22</v>
      </c>
    </row>
    <row r="956" spans="1:16" x14ac:dyDescent="0.3">
      <c r="A956" s="5">
        <v>1881</v>
      </c>
      <c r="B956" s="5" t="s">
        <v>70</v>
      </c>
      <c r="C956" s="5" t="s">
        <v>71</v>
      </c>
      <c r="D956" s="5" t="s">
        <v>18</v>
      </c>
      <c r="E956" s="5" t="s">
        <v>44</v>
      </c>
      <c r="F956" s="5" t="s">
        <v>37</v>
      </c>
      <c r="G956" s="5" t="s">
        <v>59</v>
      </c>
      <c r="H956" s="5">
        <v>65</v>
      </c>
      <c r="I956" s="6">
        <v>467</v>
      </c>
      <c r="J956" s="6">
        <v>30355</v>
      </c>
      <c r="K956" s="5">
        <v>5</v>
      </c>
      <c r="L956" s="6">
        <v>28837.25</v>
      </c>
      <c r="M956" s="6">
        <v>18389.64</v>
      </c>
      <c r="N956" s="6">
        <v>10447.61</v>
      </c>
      <c r="O956" s="7">
        <v>36.229999999999997</v>
      </c>
      <c r="P956" s="5" t="s">
        <v>22</v>
      </c>
    </row>
    <row r="957" spans="1:16" x14ac:dyDescent="0.3">
      <c r="A957" s="2">
        <v>1057</v>
      </c>
      <c r="B957" s="2" t="s">
        <v>62</v>
      </c>
      <c r="C957" s="2" t="s">
        <v>63</v>
      </c>
      <c r="D957" s="2" t="s">
        <v>25</v>
      </c>
      <c r="E957" s="2" t="s">
        <v>42</v>
      </c>
      <c r="F957" s="2" t="s">
        <v>37</v>
      </c>
      <c r="G957" s="2" t="s">
        <v>79</v>
      </c>
      <c r="H957" s="2">
        <v>115</v>
      </c>
      <c r="I957" s="3">
        <v>1283</v>
      </c>
      <c r="J957" s="3">
        <v>147545</v>
      </c>
      <c r="K957" s="2">
        <v>0</v>
      </c>
      <c r="L957" s="3">
        <v>147545</v>
      </c>
      <c r="M957" s="3">
        <v>95187.57</v>
      </c>
      <c r="N957" s="3">
        <v>52357.43</v>
      </c>
      <c r="O957" s="4">
        <v>35.49</v>
      </c>
      <c r="P957" s="2" t="s">
        <v>50</v>
      </c>
    </row>
    <row r="958" spans="1:16" x14ac:dyDescent="0.3">
      <c r="A958" s="5">
        <v>1021</v>
      </c>
      <c r="B958" s="5" t="s">
        <v>62</v>
      </c>
      <c r="C958" s="5" t="s">
        <v>63</v>
      </c>
      <c r="D958" s="5" t="s">
        <v>25</v>
      </c>
      <c r="E958" s="5" t="s">
        <v>26</v>
      </c>
      <c r="F958" s="5" t="s">
        <v>48</v>
      </c>
      <c r="G958" s="5" t="s">
        <v>69</v>
      </c>
      <c r="H958" s="5">
        <v>61</v>
      </c>
      <c r="I958" s="6">
        <v>1319</v>
      </c>
      <c r="J958" s="6">
        <v>80459</v>
      </c>
      <c r="K958" s="5">
        <v>5</v>
      </c>
      <c r="L958" s="6">
        <v>76436.05</v>
      </c>
      <c r="M958" s="6">
        <v>53173.64</v>
      </c>
      <c r="N958" s="6">
        <v>23262.41</v>
      </c>
      <c r="O958" s="7">
        <v>30.43</v>
      </c>
      <c r="P958" s="5" t="s">
        <v>43</v>
      </c>
    </row>
    <row r="959" spans="1:16" x14ac:dyDescent="0.3">
      <c r="A959" s="2">
        <v>2159</v>
      </c>
      <c r="B959" s="2" t="s">
        <v>46</v>
      </c>
      <c r="C959" s="2" t="s">
        <v>47</v>
      </c>
      <c r="D959" s="2" t="s">
        <v>36</v>
      </c>
      <c r="E959" s="2" t="s">
        <v>42</v>
      </c>
      <c r="F959" s="2" t="s">
        <v>37</v>
      </c>
      <c r="G959" s="2" t="s">
        <v>82</v>
      </c>
      <c r="H959" s="2">
        <v>64</v>
      </c>
      <c r="I959" s="3">
        <v>1385</v>
      </c>
      <c r="J959" s="3">
        <v>88640</v>
      </c>
      <c r="K959" s="2">
        <v>10</v>
      </c>
      <c r="L959" s="3">
        <v>79776</v>
      </c>
      <c r="M959" s="3">
        <v>50751.8</v>
      </c>
      <c r="N959" s="3">
        <v>29024.2</v>
      </c>
      <c r="O959" s="4">
        <v>36.380000000000003</v>
      </c>
      <c r="P959" s="2" t="s">
        <v>39</v>
      </c>
    </row>
    <row r="960" spans="1:16" x14ac:dyDescent="0.3">
      <c r="A960" s="5">
        <v>2012</v>
      </c>
      <c r="B960" s="5" t="s">
        <v>76</v>
      </c>
      <c r="C960" s="5" t="s">
        <v>77</v>
      </c>
      <c r="D960" s="5" t="s">
        <v>36</v>
      </c>
      <c r="E960" s="5" t="s">
        <v>26</v>
      </c>
      <c r="F960" s="5" t="s">
        <v>32</v>
      </c>
      <c r="G960" s="5" t="s">
        <v>75</v>
      </c>
      <c r="H960" s="5">
        <v>158</v>
      </c>
      <c r="I960" s="6">
        <v>11304</v>
      </c>
      <c r="J960" s="6">
        <v>1786032</v>
      </c>
      <c r="K960" s="5">
        <v>5</v>
      </c>
      <c r="L960" s="6">
        <v>1696730.4</v>
      </c>
      <c r="M960" s="6">
        <v>982206.43</v>
      </c>
      <c r="N960" s="6">
        <v>714523.97</v>
      </c>
      <c r="O960" s="7">
        <v>42.11</v>
      </c>
      <c r="P960" s="5" t="s">
        <v>50</v>
      </c>
    </row>
    <row r="961" spans="1:16" x14ac:dyDescent="0.3">
      <c r="A961" s="2">
        <v>1740</v>
      </c>
      <c r="B961" s="2" t="s">
        <v>30</v>
      </c>
      <c r="C961" s="2" t="s">
        <v>31</v>
      </c>
      <c r="D961" s="2" t="s">
        <v>18</v>
      </c>
      <c r="E961" s="2" t="s">
        <v>19</v>
      </c>
      <c r="F961" s="2" t="s">
        <v>32</v>
      </c>
      <c r="G961" s="2" t="s">
        <v>65</v>
      </c>
      <c r="H961" s="2">
        <v>122</v>
      </c>
      <c r="I961" s="3">
        <v>4654</v>
      </c>
      <c r="J961" s="3">
        <v>567788</v>
      </c>
      <c r="K961" s="2">
        <v>20</v>
      </c>
      <c r="L961" s="3">
        <v>454230.4</v>
      </c>
      <c r="M961" s="3">
        <v>298670.23</v>
      </c>
      <c r="N961" s="3">
        <v>155560.17000000001</v>
      </c>
      <c r="O961" s="4">
        <v>34.25</v>
      </c>
      <c r="P961" s="2" t="s">
        <v>43</v>
      </c>
    </row>
    <row r="962" spans="1:16" x14ac:dyDescent="0.3">
      <c r="A962" s="5">
        <v>1987</v>
      </c>
      <c r="B962" s="5" t="s">
        <v>34</v>
      </c>
      <c r="C962" s="5" t="s">
        <v>35</v>
      </c>
      <c r="D962" s="5" t="s">
        <v>36</v>
      </c>
      <c r="E962" s="5" t="s">
        <v>44</v>
      </c>
      <c r="F962" s="5" t="s">
        <v>32</v>
      </c>
      <c r="G962" s="5" t="s">
        <v>75</v>
      </c>
      <c r="H962" s="5">
        <v>132</v>
      </c>
      <c r="I962" s="6">
        <v>12269</v>
      </c>
      <c r="J962" s="6">
        <v>1619508</v>
      </c>
      <c r="K962" s="5">
        <v>0</v>
      </c>
      <c r="L962" s="6">
        <v>1619508</v>
      </c>
      <c r="M962" s="6">
        <v>1029529.43</v>
      </c>
      <c r="N962" s="6">
        <v>589978.56999999995</v>
      </c>
      <c r="O962" s="7">
        <v>36.43</v>
      </c>
      <c r="P962" s="5" t="s">
        <v>29</v>
      </c>
    </row>
    <row r="963" spans="1:16" x14ac:dyDescent="0.3">
      <c r="A963" s="2">
        <v>1044</v>
      </c>
      <c r="B963" s="2" t="s">
        <v>62</v>
      </c>
      <c r="C963" s="2" t="s">
        <v>63</v>
      </c>
      <c r="D963" s="2" t="s">
        <v>25</v>
      </c>
      <c r="E963" s="2" t="s">
        <v>19</v>
      </c>
      <c r="F963" s="2" t="s">
        <v>20</v>
      </c>
      <c r="G963" s="2" t="s">
        <v>68</v>
      </c>
      <c r="H963" s="2">
        <v>30</v>
      </c>
      <c r="I963" s="3">
        <v>144</v>
      </c>
      <c r="J963" s="3">
        <v>4320</v>
      </c>
      <c r="K963" s="2">
        <v>0</v>
      </c>
      <c r="L963" s="3">
        <v>4320</v>
      </c>
      <c r="M963" s="3">
        <v>2751.31</v>
      </c>
      <c r="N963" s="3">
        <v>1568.69</v>
      </c>
      <c r="O963" s="4">
        <v>36.31</v>
      </c>
      <c r="P963" s="2" t="s">
        <v>43</v>
      </c>
    </row>
    <row r="964" spans="1:16" x14ac:dyDescent="0.3">
      <c r="A964" s="5">
        <v>1873</v>
      </c>
      <c r="B964" s="5" t="s">
        <v>70</v>
      </c>
      <c r="C964" s="5" t="s">
        <v>71</v>
      </c>
      <c r="D964" s="5" t="s">
        <v>18</v>
      </c>
      <c r="E964" s="5" t="s">
        <v>42</v>
      </c>
      <c r="F964" s="5" t="s">
        <v>48</v>
      </c>
      <c r="G964" s="5" t="s">
        <v>49</v>
      </c>
      <c r="H964" s="5">
        <v>30</v>
      </c>
      <c r="I964" s="6">
        <v>844</v>
      </c>
      <c r="J964" s="6">
        <v>25320</v>
      </c>
      <c r="K964" s="5">
        <v>0</v>
      </c>
      <c r="L964" s="6">
        <v>25320</v>
      </c>
      <c r="M964" s="6">
        <v>15989.04</v>
      </c>
      <c r="N964" s="6">
        <v>9330.9599999999991</v>
      </c>
      <c r="O964" s="7">
        <v>36.85</v>
      </c>
      <c r="P964" s="5" t="s">
        <v>61</v>
      </c>
    </row>
    <row r="965" spans="1:16" x14ac:dyDescent="0.3">
      <c r="A965" s="2">
        <v>1660</v>
      </c>
      <c r="B965" s="2" t="s">
        <v>16</v>
      </c>
      <c r="C965" s="2" t="s">
        <v>17</v>
      </c>
      <c r="D965" s="2" t="s">
        <v>18</v>
      </c>
      <c r="E965" s="2" t="s">
        <v>42</v>
      </c>
      <c r="F965" s="2" t="s">
        <v>37</v>
      </c>
      <c r="G965" s="2" t="s">
        <v>67</v>
      </c>
      <c r="H965" s="2">
        <v>26</v>
      </c>
      <c r="I965" s="3">
        <v>1621</v>
      </c>
      <c r="J965" s="3">
        <v>42146</v>
      </c>
      <c r="K965" s="2">
        <v>5</v>
      </c>
      <c r="L965" s="3">
        <v>40038.699999999997</v>
      </c>
      <c r="M965" s="3">
        <v>23380.19</v>
      </c>
      <c r="N965" s="3">
        <v>16658.509999999998</v>
      </c>
      <c r="O965" s="4">
        <v>41.61</v>
      </c>
      <c r="P965" s="2" t="s">
        <v>41</v>
      </c>
    </row>
    <row r="966" spans="1:16" x14ac:dyDescent="0.3">
      <c r="A966" s="5">
        <v>1181</v>
      </c>
      <c r="B966" s="5" t="s">
        <v>23</v>
      </c>
      <c r="C966" s="5" t="s">
        <v>24</v>
      </c>
      <c r="D966" s="5" t="s">
        <v>25</v>
      </c>
      <c r="E966" s="5" t="s">
        <v>44</v>
      </c>
      <c r="F966" s="5" t="s">
        <v>37</v>
      </c>
      <c r="G966" s="5" t="s">
        <v>59</v>
      </c>
      <c r="H966" s="5">
        <v>84</v>
      </c>
      <c r="I966" s="6">
        <v>485</v>
      </c>
      <c r="J966" s="6">
        <v>40740</v>
      </c>
      <c r="K966" s="5">
        <v>5</v>
      </c>
      <c r="L966" s="6">
        <v>38703</v>
      </c>
      <c r="M966" s="6">
        <v>24891.200000000001</v>
      </c>
      <c r="N966" s="6">
        <v>13811.8</v>
      </c>
      <c r="O966" s="7">
        <v>35.69</v>
      </c>
      <c r="P966" s="5" t="s">
        <v>61</v>
      </c>
    </row>
    <row r="967" spans="1:16" x14ac:dyDescent="0.3">
      <c r="A967" s="2">
        <v>1564</v>
      </c>
      <c r="B967" s="2" t="s">
        <v>73</v>
      </c>
      <c r="C967" s="2" t="s">
        <v>74</v>
      </c>
      <c r="D967" s="2" t="s">
        <v>56</v>
      </c>
      <c r="E967" s="2" t="s">
        <v>42</v>
      </c>
      <c r="F967" s="2" t="s">
        <v>32</v>
      </c>
      <c r="G967" s="2" t="s">
        <v>33</v>
      </c>
      <c r="H967" s="2">
        <v>52</v>
      </c>
      <c r="I967" s="3">
        <v>10292</v>
      </c>
      <c r="J967" s="3">
        <v>535184</v>
      </c>
      <c r="K967" s="2">
        <v>0</v>
      </c>
      <c r="L967" s="3">
        <v>535184</v>
      </c>
      <c r="M967" s="3">
        <v>301735.02</v>
      </c>
      <c r="N967" s="3">
        <v>233448.98</v>
      </c>
      <c r="O967" s="4">
        <v>43.62</v>
      </c>
      <c r="P967" s="2" t="s">
        <v>41</v>
      </c>
    </row>
    <row r="968" spans="1:16" x14ac:dyDescent="0.3">
      <c r="A968" s="5">
        <v>1675</v>
      </c>
      <c r="B968" s="5" t="s">
        <v>16</v>
      </c>
      <c r="C968" s="5" t="s">
        <v>17</v>
      </c>
      <c r="D968" s="5" t="s">
        <v>18</v>
      </c>
      <c r="E968" s="5" t="s">
        <v>42</v>
      </c>
      <c r="F968" s="5" t="s">
        <v>48</v>
      </c>
      <c r="G968" s="5" t="s">
        <v>72</v>
      </c>
      <c r="H968" s="5">
        <v>26</v>
      </c>
      <c r="I968" s="6">
        <v>3212</v>
      </c>
      <c r="J968" s="6">
        <v>83512</v>
      </c>
      <c r="K968" s="5">
        <v>0</v>
      </c>
      <c r="L968" s="6">
        <v>83512</v>
      </c>
      <c r="M968" s="6">
        <v>56394.39</v>
      </c>
      <c r="N968" s="6">
        <v>27117.61</v>
      </c>
      <c r="O968" s="7">
        <v>32.47</v>
      </c>
      <c r="P968" s="5" t="s">
        <v>39</v>
      </c>
    </row>
    <row r="969" spans="1:16" x14ac:dyDescent="0.3">
      <c r="A969" s="2">
        <v>1285</v>
      </c>
      <c r="B969" s="2" t="s">
        <v>52</v>
      </c>
      <c r="C969" s="2" t="s">
        <v>53</v>
      </c>
      <c r="D969" s="2" t="s">
        <v>25</v>
      </c>
      <c r="E969" s="2" t="s">
        <v>44</v>
      </c>
      <c r="F969" s="2" t="s">
        <v>37</v>
      </c>
      <c r="G969" s="2" t="s">
        <v>67</v>
      </c>
      <c r="H969" s="2">
        <v>108</v>
      </c>
      <c r="I969" s="3">
        <v>1885</v>
      </c>
      <c r="J969" s="3">
        <v>203580</v>
      </c>
      <c r="K969" s="2">
        <v>10</v>
      </c>
      <c r="L969" s="3">
        <v>183222</v>
      </c>
      <c r="M969" s="3">
        <v>104438.64</v>
      </c>
      <c r="N969" s="3">
        <v>78783.360000000001</v>
      </c>
      <c r="O969" s="4">
        <v>43</v>
      </c>
      <c r="P969" s="2" t="s">
        <v>41</v>
      </c>
    </row>
    <row r="970" spans="1:16" x14ac:dyDescent="0.3">
      <c r="A970" s="5">
        <v>1823</v>
      </c>
      <c r="B970" s="5" t="s">
        <v>70</v>
      </c>
      <c r="C970" s="5" t="s">
        <v>71</v>
      </c>
      <c r="D970" s="5" t="s">
        <v>18</v>
      </c>
      <c r="E970" s="5" t="s">
        <v>26</v>
      </c>
      <c r="F970" s="5" t="s">
        <v>48</v>
      </c>
      <c r="G970" s="5" t="s">
        <v>49</v>
      </c>
      <c r="H970" s="5">
        <v>57</v>
      </c>
      <c r="I970" s="6">
        <v>854</v>
      </c>
      <c r="J970" s="6">
        <v>48678</v>
      </c>
      <c r="K970" s="5">
        <v>10</v>
      </c>
      <c r="L970" s="6">
        <v>43810.2</v>
      </c>
      <c r="M970" s="6">
        <v>25120.74</v>
      </c>
      <c r="N970" s="6">
        <v>18689.46</v>
      </c>
      <c r="O970" s="7">
        <v>42.66</v>
      </c>
      <c r="P970" s="5" t="s">
        <v>29</v>
      </c>
    </row>
    <row r="971" spans="1:16" x14ac:dyDescent="0.3">
      <c r="A971" s="5">
        <v>1265</v>
      </c>
      <c r="B971" s="5" t="s">
        <v>52</v>
      </c>
      <c r="C971" s="5" t="s">
        <v>53</v>
      </c>
      <c r="D971" s="5" t="s">
        <v>25</v>
      </c>
      <c r="E971" s="5" t="s">
        <v>42</v>
      </c>
      <c r="F971" s="5" t="s">
        <v>32</v>
      </c>
      <c r="G971" s="5" t="s">
        <v>65</v>
      </c>
      <c r="H971" s="5">
        <v>111</v>
      </c>
      <c r="I971" s="6">
        <v>5284</v>
      </c>
      <c r="J971" s="6">
        <v>586524</v>
      </c>
      <c r="K971" s="5">
        <v>5</v>
      </c>
      <c r="L971" s="6">
        <v>557197.80000000005</v>
      </c>
      <c r="M971" s="6">
        <v>351091.27</v>
      </c>
      <c r="N971" s="6">
        <v>206106.53</v>
      </c>
      <c r="O971" s="7">
        <v>36.99</v>
      </c>
      <c r="P971" s="5" t="s">
        <v>50</v>
      </c>
    </row>
    <row r="972" spans="1:16" x14ac:dyDescent="0.3">
      <c r="A972" s="2">
        <v>1030</v>
      </c>
      <c r="B972" s="2" t="s">
        <v>62</v>
      </c>
      <c r="C972" s="2" t="s">
        <v>63</v>
      </c>
      <c r="D972" s="2" t="s">
        <v>25</v>
      </c>
      <c r="E972" s="2" t="s">
        <v>19</v>
      </c>
      <c r="F972" s="2" t="s">
        <v>27</v>
      </c>
      <c r="G972" s="2" t="s">
        <v>84</v>
      </c>
      <c r="H972" s="2">
        <v>108</v>
      </c>
      <c r="I972" s="3">
        <v>13995</v>
      </c>
      <c r="J972" s="3">
        <v>1511460</v>
      </c>
      <c r="K972" s="2">
        <v>15</v>
      </c>
      <c r="L972" s="3">
        <v>1284741</v>
      </c>
      <c r="M972" s="3">
        <v>892451.03</v>
      </c>
      <c r="N972" s="3">
        <v>392289.97</v>
      </c>
      <c r="O972" s="4">
        <v>30.53</v>
      </c>
      <c r="P972" s="2" t="s">
        <v>45</v>
      </c>
    </row>
    <row r="973" spans="1:16" x14ac:dyDescent="0.3">
      <c r="A973" s="5">
        <v>2195</v>
      </c>
      <c r="B973" s="5" t="s">
        <v>46</v>
      </c>
      <c r="C973" s="5" t="s">
        <v>47</v>
      </c>
      <c r="D973" s="5" t="s">
        <v>36</v>
      </c>
      <c r="E973" s="5" t="s">
        <v>44</v>
      </c>
      <c r="F973" s="5" t="s">
        <v>20</v>
      </c>
      <c r="G973" s="5" t="s">
        <v>60</v>
      </c>
      <c r="H973" s="5">
        <v>123</v>
      </c>
      <c r="I973" s="6">
        <v>87</v>
      </c>
      <c r="J973" s="6">
        <v>10701</v>
      </c>
      <c r="K973" s="5">
        <v>10</v>
      </c>
      <c r="L973" s="6">
        <v>9630.9</v>
      </c>
      <c r="M973" s="6">
        <v>5497.82</v>
      </c>
      <c r="N973" s="6">
        <v>4133.08</v>
      </c>
      <c r="O973" s="7">
        <v>42.91</v>
      </c>
      <c r="P973" s="5" t="s">
        <v>39</v>
      </c>
    </row>
    <row r="974" spans="1:16" x14ac:dyDescent="0.3">
      <c r="A974" s="2">
        <v>1280</v>
      </c>
      <c r="B974" s="2" t="s">
        <v>52</v>
      </c>
      <c r="C974" s="2" t="s">
        <v>53</v>
      </c>
      <c r="D974" s="2" t="s">
        <v>25</v>
      </c>
      <c r="E974" s="2" t="s">
        <v>44</v>
      </c>
      <c r="F974" s="2" t="s">
        <v>27</v>
      </c>
      <c r="G974" s="2" t="s">
        <v>84</v>
      </c>
      <c r="H974" s="2">
        <v>91</v>
      </c>
      <c r="I974" s="3">
        <v>15225</v>
      </c>
      <c r="J974" s="3">
        <v>1385475</v>
      </c>
      <c r="K974" s="2">
        <v>0</v>
      </c>
      <c r="L974" s="3">
        <v>1385475</v>
      </c>
      <c r="M974" s="3">
        <v>822543.76</v>
      </c>
      <c r="N974" s="3">
        <v>562931.24</v>
      </c>
      <c r="O974" s="4">
        <v>40.630000000000003</v>
      </c>
      <c r="P974" s="2" t="s">
        <v>43</v>
      </c>
    </row>
    <row r="975" spans="1:16" x14ac:dyDescent="0.3">
      <c r="A975" s="5">
        <v>1164</v>
      </c>
      <c r="B975" s="5" t="s">
        <v>23</v>
      </c>
      <c r="C975" s="5" t="s">
        <v>24</v>
      </c>
      <c r="D975" s="5" t="s">
        <v>25</v>
      </c>
      <c r="E975" s="5" t="s">
        <v>42</v>
      </c>
      <c r="F975" s="5" t="s">
        <v>32</v>
      </c>
      <c r="G975" s="5" t="s">
        <v>33</v>
      </c>
      <c r="H975" s="5">
        <v>75</v>
      </c>
      <c r="I975" s="6">
        <v>9074</v>
      </c>
      <c r="J975" s="6">
        <v>680550</v>
      </c>
      <c r="K975" s="5">
        <v>10</v>
      </c>
      <c r="L975" s="6">
        <v>612495</v>
      </c>
      <c r="M975" s="6">
        <v>416775.31</v>
      </c>
      <c r="N975" s="6">
        <v>195719.69</v>
      </c>
      <c r="O975" s="7">
        <v>31.95</v>
      </c>
      <c r="P975" s="5" t="s">
        <v>39</v>
      </c>
    </row>
    <row r="976" spans="1:16" x14ac:dyDescent="0.3">
      <c r="A976" s="2">
        <v>1207</v>
      </c>
      <c r="B976" s="2" t="s">
        <v>52</v>
      </c>
      <c r="C976" s="2" t="s">
        <v>53</v>
      </c>
      <c r="D976" s="2" t="s">
        <v>25</v>
      </c>
      <c r="E976" s="2" t="s">
        <v>26</v>
      </c>
      <c r="F976" s="2" t="s">
        <v>37</v>
      </c>
      <c r="G976" s="2" t="s">
        <v>79</v>
      </c>
      <c r="H976" s="2">
        <v>81</v>
      </c>
      <c r="I976" s="3">
        <v>1267</v>
      </c>
      <c r="J976" s="3">
        <v>102627</v>
      </c>
      <c r="K976" s="2">
        <v>0</v>
      </c>
      <c r="L976" s="3">
        <v>102627</v>
      </c>
      <c r="M976" s="3">
        <v>63403.040000000001</v>
      </c>
      <c r="N976" s="3">
        <v>39223.96</v>
      </c>
      <c r="O976" s="4">
        <v>38.22</v>
      </c>
      <c r="P976" s="2" t="s">
        <v>45</v>
      </c>
    </row>
    <row r="977" spans="1:16" x14ac:dyDescent="0.3">
      <c r="A977" s="5">
        <v>1038</v>
      </c>
      <c r="B977" s="5" t="s">
        <v>62</v>
      </c>
      <c r="C977" s="5" t="s">
        <v>63</v>
      </c>
      <c r="D977" s="5" t="s">
        <v>25</v>
      </c>
      <c r="E977" s="5" t="s">
        <v>19</v>
      </c>
      <c r="F977" s="5" t="s">
        <v>32</v>
      </c>
      <c r="G977" s="5" t="s">
        <v>81</v>
      </c>
      <c r="H977" s="5">
        <v>21</v>
      </c>
      <c r="I977" s="6">
        <v>14639</v>
      </c>
      <c r="J977" s="6">
        <v>307419</v>
      </c>
      <c r="K977" s="5">
        <v>0</v>
      </c>
      <c r="L977" s="6">
        <v>307419</v>
      </c>
      <c r="M977" s="6">
        <v>180546.7</v>
      </c>
      <c r="N977" s="6">
        <v>126872.3</v>
      </c>
      <c r="O977" s="7">
        <v>41.27</v>
      </c>
      <c r="P977" s="5" t="s">
        <v>45</v>
      </c>
    </row>
    <row r="978" spans="1:16" x14ac:dyDescent="0.3">
      <c r="A978" s="2">
        <v>1928</v>
      </c>
      <c r="B978" s="2" t="s">
        <v>34</v>
      </c>
      <c r="C978" s="2" t="s">
        <v>35</v>
      </c>
      <c r="D978" s="2" t="s">
        <v>36</v>
      </c>
      <c r="E978" s="2" t="s">
        <v>19</v>
      </c>
      <c r="F978" s="2" t="s">
        <v>27</v>
      </c>
      <c r="G978" s="2" t="s">
        <v>83</v>
      </c>
      <c r="H978" s="2">
        <v>85</v>
      </c>
      <c r="I978" s="3">
        <v>4848</v>
      </c>
      <c r="J978" s="3">
        <v>412080</v>
      </c>
      <c r="K978" s="2">
        <v>10</v>
      </c>
      <c r="L978" s="3">
        <v>370872</v>
      </c>
      <c r="M978" s="3">
        <v>223145.8</v>
      </c>
      <c r="N978" s="3">
        <v>147726.20000000001</v>
      </c>
      <c r="O978" s="4">
        <v>39.83</v>
      </c>
      <c r="P978" s="2" t="s">
        <v>43</v>
      </c>
    </row>
    <row r="979" spans="1:16" x14ac:dyDescent="0.3">
      <c r="A979" s="5">
        <v>1663</v>
      </c>
      <c r="B979" s="5" t="s">
        <v>16</v>
      </c>
      <c r="C979" s="5" t="s">
        <v>17</v>
      </c>
      <c r="D979" s="5" t="s">
        <v>18</v>
      </c>
      <c r="E979" s="5" t="s">
        <v>42</v>
      </c>
      <c r="F979" s="5" t="s">
        <v>32</v>
      </c>
      <c r="G979" s="5" t="s">
        <v>81</v>
      </c>
      <c r="H979" s="5">
        <v>77</v>
      </c>
      <c r="I979" s="6">
        <v>15124</v>
      </c>
      <c r="J979" s="6">
        <v>1164548</v>
      </c>
      <c r="K979" s="5">
        <v>10</v>
      </c>
      <c r="L979" s="6">
        <v>1048093.2</v>
      </c>
      <c r="M979" s="6">
        <v>694379.92</v>
      </c>
      <c r="N979" s="6">
        <v>353713.28</v>
      </c>
      <c r="O979" s="7">
        <v>33.75</v>
      </c>
      <c r="P979" s="5" t="s">
        <v>61</v>
      </c>
    </row>
    <row r="980" spans="1:16" x14ac:dyDescent="0.3">
      <c r="A980" s="2">
        <v>1433</v>
      </c>
      <c r="B980" s="2" t="s">
        <v>54</v>
      </c>
      <c r="C980" s="2" t="s">
        <v>55</v>
      </c>
      <c r="D980" s="2" t="s">
        <v>56</v>
      </c>
      <c r="E980" s="2" t="s">
        <v>19</v>
      </c>
      <c r="F980" s="2" t="s">
        <v>37</v>
      </c>
      <c r="G980" s="2" t="s">
        <v>38</v>
      </c>
      <c r="H980" s="2">
        <v>41</v>
      </c>
      <c r="I980" s="3">
        <v>1896</v>
      </c>
      <c r="J980" s="3">
        <v>77736</v>
      </c>
      <c r="K980" s="2">
        <v>15</v>
      </c>
      <c r="L980" s="3">
        <v>66075.600000000006</v>
      </c>
      <c r="M980" s="3">
        <v>43051.9</v>
      </c>
      <c r="N980" s="3">
        <v>23023.7</v>
      </c>
      <c r="O980" s="4">
        <v>34.840000000000003</v>
      </c>
      <c r="P980" s="2" t="s">
        <v>41</v>
      </c>
    </row>
    <row r="981" spans="1:16" x14ac:dyDescent="0.3">
      <c r="A981" s="5">
        <v>1447</v>
      </c>
      <c r="B981" s="5" t="s">
        <v>54</v>
      </c>
      <c r="C981" s="5" t="s">
        <v>55</v>
      </c>
      <c r="D981" s="5" t="s">
        <v>56</v>
      </c>
      <c r="E981" s="5" t="s">
        <v>19</v>
      </c>
      <c r="F981" s="5" t="s">
        <v>48</v>
      </c>
      <c r="G981" s="5" t="s">
        <v>78</v>
      </c>
      <c r="H981" s="5">
        <v>121</v>
      </c>
      <c r="I981" s="6">
        <v>583</v>
      </c>
      <c r="J981" s="6">
        <v>70543</v>
      </c>
      <c r="K981" s="5">
        <v>5</v>
      </c>
      <c r="L981" s="6">
        <v>67015.850000000006</v>
      </c>
      <c r="M981" s="6">
        <v>44105.47</v>
      </c>
      <c r="N981" s="6">
        <v>22910.38</v>
      </c>
      <c r="O981" s="7">
        <v>34.19</v>
      </c>
      <c r="P981" s="5" t="s">
        <v>39</v>
      </c>
    </row>
    <row r="982" spans="1:16" x14ac:dyDescent="0.3">
      <c r="A982" s="2">
        <v>1574</v>
      </c>
      <c r="B982" s="2" t="s">
        <v>73</v>
      </c>
      <c r="C982" s="2" t="s">
        <v>74</v>
      </c>
      <c r="D982" s="2" t="s">
        <v>56</v>
      </c>
      <c r="E982" s="2" t="s">
        <v>42</v>
      </c>
      <c r="F982" s="2" t="s">
        <v>48</v>
      </c>
      <c r="G982" s="2" t="s">
        <v>51</v>
      </c>
      <c r="H982" s="2">
        <v>31</v>
      </c>
      <c r="I982" s="3">
        <v>2197</v>
      </c>
      <c r="J982" s="3">
        <v>68107</v>
      </c>
      <c r="K982" s="2">
        <v>10</v>
      </c>
      <c r="L982" s="3">
        <v>61296.3</v>
      </c>
      <c r="M982" s="3">
        <v>40763.65</v>
      </c>
      <c r="N982" s="3">
        <v>20532.650000000001</v>
      </c>
      <c r="O982" s="4">
        <v>33.5</v>
      </c>
      <c r="P982" s="2" t="s">
        <v>45</v>
      </c>
    </row>
    <row r="983" spans="1:16" x14ac:dyDescent="0.3">
      <c r="A983" s="5">
        <v>1498</v>
      </c>
      <c r="B983" s="5" t="s">
        <v>54</v>
      </c>
      <c r="C983" s="5" t="s">
        <v>55</v>
      </c>
      <c r="D983" s="5" t="s">
        <v>56</v>
      </c>
      <c r="E983" s="5" t="s">
        <v>44</v>
      </c>
      <c r="F983" s="5" t="s">
        <v>48</v>
      </c>
      <c r="G983" s="5" t="s">
        <v>49</v>
      </c>
      <c r="H983" s="5">
        <v>115</v>
      </c>
      <c r="I983" s="6">
        <v>860</v>
      </c>
      <c r="J983" s="6">
        <v>98900</v>
      </c>
      <c r="K983" s="5">
        <v>20</v>
      </c>
      <c r="L983" s="6">
        <v>79120</v>
      </c>
      <c r="M983" s="6">
        <v>54793.62</v>
      </c>
      <c r="N983" s="6">
        <v>24326.38</v>
      </c>
      <c r="O983" s="7">
        <v>30.75</v>
      </c>
      <c r="P983" s="5" t="s">
        <v>41</v>
      </c>
    </row>
    <row r="984" spans="1:16" x14ac:dyDescent="0.3">
      <c r="A984" s="2">
        <v>1476</v>
      </c>
      <c r="B984" s="2" t="s">
        <v>54</v>
      </c>
      <c r="C984" s="2" t="s">
        <v>55</v>
      </c>
      <c r="D984" s="2" t="s">
        <v>56</v>
      </c>
      <c r="E984" s="2" t="s">
        <v>44</v>
      </c>
      <c r="F984" s="2" t="s">
        <v>27</v>
      </c>
      <c r="G984" s="2" t="s">
        <v>85</v>
      </c>
      <c r="H984" s="2">
        <v>68</v>
      </c>
      <c r="I984" s="3">
        <v>12829</v>
      </c>
      <c r="J984" s="3">
        <v>872372</v>
      </c>
      <c r="K984" s="2">
        <v>0</v>
      </c>
      <c r="L984" s="3">
        <v>872372</v>
      </c>
      <c r="M984" s="3">
        <v>586286.97</v>
      </c>
      <c r="N984" s="3">
        <v>286085.03000000003</v>
      </c>
      <c r="O984" s="4">
        <v>32.79</v>
      </c>
      <c r="P984" s="2" t="s">
        <v>50</v>
      </c>
    </row>
    <row r="985" spans="1:16" x14ac:dyDescent="0.3">
      <c r="A985" s="5">
        <v>1318</v>
      </c>
      <c r="B985" s="5" t="s">
        <v>57</v>
      </c>
      <c r="C985" s="5" t="s">
        <v>58</v>
      </c>
      <c r="D985" s="5" t="s">
        <v>56</v>
      </c>
      <c r="E985" s="5" t="s">
        <v>26</v>
      </c>
      <c r="F985" s="5" t="s">
        <v>20</v>
      </c>
      <c r="G985" s="5" t="s">
        <v>21</v>
      </c>
      <c r="H985" s="5">
        <v>109</v>
      </c>
      <c r="I985" s="6">
        <v>110</v>
      </c>
      <c r="J985" s="6">
        <v>11990</v>
      </c>
      <c r="K985" s="5">
        <v>0</v>
      </c>
      <c r="L985" s="6">
        <v>11990</v>
      </c>
      <c r="M985" s="6">
        <v>7658.87</v>
      </c>
      <c r="N985" s="6">
        <v>4331.13</v>
      </c>
      <c r="O985" s="7">
        <v>36.119999999999997</v>
      </c>
      <c r="P985" s="5" t="s">
        <v>61</v>
      </c>
    </row>
    <row r="986" spans="1:16" x14ac:dyDescent="0.3">
      <c r="A986" s="2">
        <v>1848</v>
      </c>
      <c r="B986" s="2" t="s">
        <v>70</v>
      </c>
      <c r="C986" s="2" t="s">
        <v>71</v>
      </c>
      <c r="D986" s="2" t="s">
        <v>18</v>
      </c>
      <c r="E986" s="2" t="s">
        <v>19</v>
      </c>
      <c r="F986" s="2" t="s">
        <v>48</v>
      </c>
      <c r="G986" s="2" t="s">
        <v>49</v>
      </c>
      <c r="H986" s="2">
        <v>73</v>
      </c>
      <c r="I986" s="3">
        <v>749</v>
      </c>
      <c r="J986" s="3">
        <v>54677</v>
      </c>
      <c r="K986" s="2">
        <v>0</v>
      </c>
      <c r="L986" s="3">
        <v>54677</v>
      </c>
      <c r="M986" s="3">
        <v>31097.87</v>
      </c>
      <c r="N986" s="3">
        <v>23579.13</v>
      </c>
      <c r="O986" s="4">
        <v>43.12</v>
      </c>
      <c r="P986" s="2" t="s">
        <v>45</v>
      </c>
    </row>
    <row r="987" spans="1:16" x14ac:dyDescent="0.3">
      <c r="A987" s="5">
        <v>1817</v>
      </c>
      <c r="B987" s="5" t="s">
        <v>70</v>
      </c>
      <c r="C987" s="5" t="s">
        <v>71</v>
      </c>
      <c r="D987" s="5" t="s">
        <v>18</v>
      </c>
      <c r="E987" s="5" t="s">
        <v>26</v>
      </c>
      <c r="F987" s="5" t="s">
        <v>20</v>
      </c>
      <c r="G987" s="5" t="s">
        <v>80</v>
      </c>
      <c r="H987" s="5">
        <v>95</v>
      </c>
      <c r="I987" s="6">
        <v>76</v>
      </c>
      <c r="J987" s="6">
        <v>7220</v>
      </c>
      <c r="K987" s="5">
        <v>15</v>
      </c>
      <c r="L987" s="6">
        <v>6137</v>
      </c>
      <c r="M987" s="6">
        <v>3958.67</v>
      </c>
      <c r="N987" s="6">
        <v>2178.33</v>
      </c>
      <c r="O987" s="7">
        <v>35.5</v>
      </c>
      <c r="P987" s="5" t="s">
        <v>45</v>
      </c>
    </row>
    <row r="988" spans="1:16" x14ac:dyDescent="0.3">
      <c r="A988" s="5">
        <v>1029</v>
      </c>
      <c r="B988" s="5" t="s">
        <v>62</v>
      </c>
      <c r="C988" s="5" t="s">
        <v>63</v>
      </c>
      <c r="D988" s="5" t="s">
        <v>25</v>
      </c>
      <c r="E988" s="5" t="s">
        <v>19</v>
      </c>
      <c r="F988" s="5" t="s">
        <v>27</v>
      </c>
      <c r="G988" s="5" t="s">
        <v>66</v>
      </c>
      <c r="H988" s="5">
        <v>111</v>
      </c>
      <c r="I988" s="6">
        <v>805</v>
      </c>
      <c r="J988" s="6">
        <v>89355</v>
      </c>
      <c r="K988" s="5">
        <v>0</v>
      </c>
      <c r="L988" s="6">
        <v>89355</v>
      </c>
      <c r="M988" s="6">
        <v>50866.11</v>
      </c>
      <c r="N988" s="6">
        <v>38488.89</v>
      </c>
      <c r="O988" s="7">
        <v>43.07</v>
      </c>
      <c r="P988" s="5" t="s">
        <v>39</v>
      </c>
    </row>
    <row r="989" spans="1:16" x14ac:dyDescent="0.3">
      <c r="A989" s="2">
        <v>1197</v>
      </c>
      <c r="B989" s="2" t="s">
        <v>23</v>
      </c>
      <c r="C989" s="2" t="s">
        <v>24</v>
      </c>
      <c r="D989" s="2" t="s">
        <v>25</v>
      </c>
      <c r="E989" s="2" t="s">
        <v>44</v>
      </c>
      <c r="F989" s="2" t="s">
        <v>48</v>
      </c>
      <c r="G989" s="2" t="s">
        <v>78</v>
      </c>
      <c r="H989" s="2">
        <v>20</v>
      </c>
      <c r="I989" s="3">
        <v>584</v>
      </c>
      <c r="J989" s="3">
        <v>11680</v>
      </c>
      <c r="K989" s="2">
        <v>20</v>
      </c>
      <c r="L989" s="3">
        <v>9344</v>
      </c>
      <c r="M989" s="3">
        <v>5762.49</v>
      </c>
      <c r="N989" s="3">
        <v>3581.51</v>
      </c>
      <c r="O989" s="4">
        <v>38.33</v>
      </c>
      <c r="P989" s="2" t="s">
        <v>45</v>
      </c>
    </row>
    <row r="990" spans="1:16" x14ac:dyDescent="0.3">
      <c r="A990" s="5">
        <v>1154</v>
      </c>
      <c r="B990" s="5" t="s">
        <v>23</v>
      </c>
      <c r="C990" s="5" t="s">
        <v>24</v>
      </c>
      <c r="D990" s="5" t="s">
        <v>25</v>
      </c>
      <c r="E990" s="5" t="s">
        <v>42</v>
      </c>
      <c r="F990" s="5" t="s">
        <v>27</v>
      </c>
      <c r="G990" s="5" t="s">
        <v>66</v>
      </c>
      <c r="H990" s="5">
        <v>81</v>
      </c>
      <c r="I990" s="6">
        <v>808</v>
      </c>
      <c r="J990" s="6">
        <v>65448</v>
      </c>
      <c r="K990" s="5">
        <v>0</v>
      </c>
      <c r="L990" s="6">
        <v>65448</v>
      </c>
      <c r="M990" s="6">
        <v>38202.33</v>
      </c>
      <c r="N990" s="6">
        <v>27245.67</v>
      </c>
      <c r="O990" s="7">
        <v>41.63</v>
      </c>
      <c r="P990" s="5" t="s">
        <v>29</v>
      </c>
    </row>
    <row r="991" spans="1:16" x14ac:dyDescent="0.3">
      <c r="A991" s="2">
        <v>1117</v>
      </c>
      <c r="B991" s="2" t="s">
        <v>23</v>
      </c>
      <c r="C991" s="2" t="s">
        <v>24</v>
      </c>
      <c r="D991" s="2" t="s">
        <v>25</v>
      </c>
      <c r="E991" s="2" t="s">
        <v>26</v>
      </c>
      <c r="F991" s="2" t="s">
        <v>20</v>
      </c>
      <c r="G991" s="2" t="s">
        <v>80</v>
      </c>
      <c r="H991" s="2">
        <v>122</v>
      </c>
      <c r="I991" s="3">
        <v>75</v>
      </c>
      <c r="J991" s="3">
        <v>9150</v>
      </c>
      <c r="K991" s="2">
        <v>5</v>
      </c>
      <c r="L991" s="3">
        <v>8692.5</v>
      </c>
      <c r="M991" s="3">
        <v>5243.52</v>
      </c>
      <c r="N991" s="3">
        <v>3448.98</v>
      </c>
      <c r="O991" s="4">
        <v>39.68</v>
      </c>
      <c r="P991" s="2" t="s">
        <v>50</v>
      </c>
    </row>
    <row r="992" spans="1:16" x14ac:dyDescent="0.3">
      <c r="A992" s="2">
        <v>1416</v>
      </c>
      <c r="B992" s="2" t="s">
        <v>54</v>
      </c>
      <c r="C992" s="2" t="s">
        <v>55</v>
      </c>
      <c r="D992" s="2" t="s">
        <v>56</v>
      </c>
      <c r="E992" s="2" t="s">
        <v>26</v>
      </c>
      <c r="F992" s="2" t="s">
        <v>20</v>
      </c>
      <c r="G992" s="2" t="s">
        <v>64</v>
      </c>
      <c r="H992" s="2">
        <v>61</v>
      </c>
      <c r="I992" s="3">
        <v>213</v>
      </c>
      <c r="J992" s="3">
        <v>12993</v>
      </c>
      <c r="K992" s="2">
        <v>20</v>
      </c>
      <c r="L992" s="3">
        <v>10394.4</v>
      </c>
      <c r="M992" s="3">
        <v>6435.43</v>
      </c>
      <c r="N992" s="3">
        <v>3958.97</v>
      </c>
      <c r="O992" s="4">
        <v>38.090000000000003</v>
      </c>
      <c r="P992" s="2" t="s">
        <v>41</v>
      </c>
    </row>
    <row r="993" spans="1:16" x14ac:dyDescent="0.3">
      <c r="A993" s="5">
        <v>1484</v>
      </c>
      <c r="B993" s="5" t="s">
        <v>54</v>
      </c>
      <c r="C993" s="5" t="s">
        <v>55</v>
      </c>
      <c r="D993" s="5" t="s">
        <v>56</v>
      </c>
      <c r="E993" s="5" t="s">
        <v>44</v>
      </c>
      <c r="F993" s="5" t="s">
        <v>37</v>
      </c>
      <c r="G993" s="5" t="s">
        <v>82</v>
      </c>
      <c r="H993" s="5">
        <v>129</v>
      </c>
      <c r="I993" s="6">
        <v>1416</v>
      </c>
      <c r="J993" s="6">
        <v>182664</v>
      </c>
      <c r="K993" s="5">
        <v>0</v>
      </c>
      <c r="L993" s="6">
        <v>182664</v>
      </c>
      <c r="M993" s="6">
        <v>107996.06</v>
      </c>
      <c r="N993" s="6">
        <v>74667.94</v>
      </c>
      <c r="O993" s="7">
        <v>40.880000000000003</v>
      </c>
      <c r="P993" s="5" t="s">
        <v>50</v>
      </c>
    </row>
    <row r="994" spans="1:16" x14ac:dyDescent="0.3">
      <c r="A994" s="2">
        <v>1526</v>
      </c>
      <c r="B994" s="2" t="s">
        <v>73</v>
      </c>
      <c r="C994" s="2" t="s">
        <v>74</v>
      </c>
      <c r="D994" s="2" t="s">
        <v>56</v>
      </c>
      <c r="E994" s="2" t="s">
        <v>19</v>
      </c>
      <c r="F994" s="2" t="s">
        <v>27</v>
      </c>
      <c r="G994" s="2" t="s">
        <v>85</v>
      </c>
      <c r="H994" s="2">
        <v>32</v>
      </c>
      <c r="I994" s="3">
        <v>12088</v>
      </c>
      <c r="J994" s="3">
        <v>386816</v>
      </c>
      <c r="K994" s="2">
        <v>0</v>
      </c>
      <c r="L994" s="3">
        <v>386816</v>
      </c>
      <c r="M994" s="3">
        <v>228848.14</v>
      </c>
      <c r="N994" s="3">
        <v>157967.85999999999</v>
      </c>
      <c r="O994" s="4">
        <v>40.840000000000003</v>
      </c>
      <c r="P994" s="2" t="s">
        <v>50</v>
      </c>
    </row>
    <row r="995" spans="1:16" x14ac:dyDescent="0.3">
      <c r="A995" s="5">
        <v>1329</v>
      </c>
      <c r="B995" s="5" t="s">
        <v>57</v>
      </c>
      <c r="C995" s="5" t="s">
        <v>58</v>
      </c>
      <c r="D995" s="5" t="s">
        <v>56</v>
      </c>
      <c r="E995" s="5" t="s">
        <v>19</v>
      </c>
      <c r="F995" s="5" t="s">
        <v>27</v>
      </c>
      <c r="G995" s="5" t="s">
        <v>66</v>
      </c>
      <c r="H995" s="5">
        <v>49</v>
      </c>
      <c r="I995" s="6">
        <v>858</v>
      </c>
      <c r="J995" s="6">
        <v>42042</v>
      </c>
      <c r="K995" s="5">
        <v>0</v>
      </c>
      <c r="L995" s="6">
        <v>42042</v>
      </c>
      <c r="M995" s="6">
        <v>28253.14</v>
      </c>
      <c r="N995" s="6">
        <v>13788.86</v>
      </c>
      <c r="O995" s="7">
        <v>32.799999999999997</v>
      </c>
      <c r="P995" s="5" t="s">
        <v>41</v>
      </c>
    </row>
    <row r="996" spans="1:16" x14ac:dyDescent="0.3">
      <c r="A996" s="2">
        <v>1588</v>
      </c>
      <c r="B996" s="2" t="s">
        <v>73</v>
      </c>
      <c r="C996" s="2" t="s">
        <v>74</v>
      </c>
      <c r="D996" s="2" t="s">
        <v>56</v>
      </c>
      <c r="E996" s="2" t="s">
        <v>44</v>
      </c>
      <c r="F996" s="2" t="s">
        <v>32</v>
      </c>
      <c r="G996" s="2" t="s">
        <v>81</v>
      </c>
      <c r="H996" s="2">
        <v>40</v>
      </c>
      <c r="I996" s="3">
        <v>14641</v>
      </c>
      <c r="J996" s="3">
        <v>585640</v>
      </c>
      <c r="K996" s="2">
        <v>15</v>
      </c>
      <c r="L996" s="3">
        <v>497794</v>
      </c>
      <c r="M996" s="3">
        <v>337311.96</v>
      </c>
      <c r="N996" s="3">
        <v>160482.04</v>
      </c>
      <c r="O996" s="4">
        <v>32.24</v>
      </c>
      <c r="P996" s="2" t="s">
        <v>43</v>
      </c>
    </row>
    <row r="997" spans="1:16" x14ac:dyDescent="0.3">
      <c r="A997" s="5">
        <v>2100</v>
      </c>
      <c r="B997" s="5" t="s">
        <v>76</v>
      </c>
      <c r="C997" s="5" t="s">
        <v>77</v>
      </c>
      <c r="D997" s="5" t="s">
        <v>36</v>
      </c>
      <c r="E997" s="5" t="s">
        <v>44</v>
      </c>
      <c r="F997" s="5" t="s">
        <v>48</v>
      </c>
      <c r="G997" s="5" t="s">
        <v>72</v>
      </c>
      <c r="H997" s="5">
        <v>30</v>
      </c>
      <c r="I997" s="6">
        <v>3593</v>
      </c>
      <c r="J997" s="6">
        <v>107790</v>
      </c>
      <c r="K997" s="5">
        <v>5</v>
      </c>
      <c r="L997" s="6">
        <v>102400.5</v>
      </c>
      <c r="M997" s="6">
        <v>68926.89</v>
      </c>
      <c r="N997" s="6">
        <v>33473.61</v>
      </c>
      <c r="O997" s="7">
        <v>32.69</v>
      </c>
      <c r="P997" s="5" t="s">
        <v>29</v>
      </c>
    </row>
    <row r="998" spans="1:16" x14ac:dyDescent="0.3">
      <c r="A998" s="2">
        <v>1845</v>
      </c>
      <c r="B998" s="2" t="s">
        <v>70</v>
      </c>
      <c r="C998" s="2" t="s">
        <v>71</v>
      </c>
      <c r="D998" s="2" t="s">
        <v>18</v>
      </c>
      <c r="E998" s="2" t="s">
        <v>19</v>
      </c>
      <c r="F998" s="2" t="s">
        <v>20</v>
      </c>
      <c r="G998" s="2" t="s">
        <v>60</v>
      </c>
      <c r="H998" s="2">
        <v>130</v>
      </c>
      <c r="I998" s="3">
        <v>82</v>
      </c>
      <c r="J998" s="3">
        <v>10660</v>
      </c>
      <c r="K998" s="2">
        <v>0</v>
      </c>
      <c r="L998" s="3">
        <v>10660</v>
      </c>
      <c r="M998" s="3">
        <v>6412.46</v>
      </c>
      <c r="N998" s="3">
        <v>4247.54</v>
      </c>
      <c r="O998" s="4">
        <v>39.85</v>
      </c>
      <c r="P998" s="2" t="s">
        <v>41</v>
      </c>
    </row>
    <row r="999" spans="1:16" x14ac:dyDescent="0.3">
      <c r="A999" s="5">
        <v>1417</v>
      </c>
      <c r="B999" s="5" t="s">
        <v>54</v>
      </c>
      <c r="C999" s="5" t="s">
        <v>55</v>
      </c>
      <c r="D999" s="5" t="s">
        <v>56</v>
      </c>
      <c r="E999" s="5" t="s">
        <v>26</v>
      </c>
      <c r="F999" s="5" t="s">
        <v>20</v>
      </c>
      <c r="G999" s="5" t="s">
        <v>80</v>
      </c>
      <c r="H999" s="5">
        <v>48</v>
      </c>
      <c r="I999" s="6">
        <v>84</v>
      </c>
      <c r="J999" s="6">
        <v>4032</v>
      </c>
      <c r="K999" s="5">
        <v>20</v>
      </c>
      <c r="L999" s="6">
        <v>3225.6</v>
      </c>
      <c r="M999" s="6">
        <v>1863.13</v>
      </c>
      <c r="N999" s="6">
        <v>1362.47</v>
      </c>
      <c r="O999" s="7">
        <v>42.24</v>
      </c>
      <c r="P999" s="5" t="s">
        <v>43</v>
      </c>
    </row>
    <row r="1000" spans="1:16" x14ac:dyDescent="0.3">
      <c r="A1000" s="2">
        <v>1132</v>
      </c>
      <c r="B1000" s="2" t="s">
        <v>23</v>
      </c>
      <c r="C1000" s="2" t="s">
        <v>24</v>
      </c>
      <c r="D1000" s="2" t="s">
        <v>25</v>
      </c>
      <c r="E1000" s="2" t="s">
        <v>19</v>
      </c>
      <c r="F1000" s="2" t="s">
        <v>37</v>
      </c>
      <c r="G1000" s="2" t="s">
        <v>79</v>
      </c>
      <c r="H1000" s="2">
        <v>25</v>
      </c>
      <c r="I1000" s="3">
        <v>1140</v>
      </c>
      <c r="J1000" s="3">
        <v>28500</v>
      </c>
      <c r="K1000" s="2">
        <v>15</v>
      </c>
      <c r="L1000" s="3">
        <v>24225</v>
      </c>
      <c r="M1000" s="3">
        <v>15526.96</v>
      </c>
      <c r="N1000" s="3">
        <v>8698.0400000000009</v>
      </c>
      <c r="O1000" s="4">
        <v>35.909999999999997</v>
      </c>
      <c r="P1000" s="2" t="s">
        <v>45</v>
      </c>
    </row>
    <row r="1001" spans="1:16" x14ac:dyDescent="0.3">
      <c r="A1001" s="5">
        <v>1653</v>
      </c>
      <c r="B1001" s="5" t="s">
        <v>16</v>
      </c>
      <c r="C1001" s="5" t="s">
        <v>17</v>
      </c>
      <c r="D1001" s="5" t="s">
        <v>18</v>
      </c>
      <c r="E1001" s="5" t="s">
        <v>42</v>
      </c>
      <c r="F1001" s="5" t="s">
        <v>27</v>
      </c>
      <c r="G1001" s="5" t="s">
        <v>83</v>
      </c>
      <c r="H1001" s="5">
        <v>107</v>
      </c>
      <c r="I1001" s="6">
        <v>4913</v>
      </c>
      <c r="J1001" s="6">
        <v>525691</v>
      </c>
      <c r="K1001" s="5">
        <v>0</v>
      </c>
      <c r="L1001" s="6">
        <v>525691</v>
      </c>
      <c r="M1001" s="6">
        <v>299961.8</v>
      </c>
      <c r="N1001" s="6">
        <v>225729.2</v>
      </c>
      <c r="O1001" s="7">
        <v>42.94</v>
      </c>
      <c r="P1001" s="5" t="s">
        <v>45</v>
      </c>
    </row>
    <row r="1002" spans="1:16" x14ac:dyDescent="0.3">
      <c r="A1002" s="2">
        <v>1841</v>
      </c>
      <c r="B1002" s="2" t="s">
        <v>70</v>
      </c>
      <c r="C1002" s="2" t="s">
        <v>71</v>
      </c>
      <c r="D1002" s="2" t="s">
        <v>18</v>
      </c>
      <c r="E1002" s="2" t="s">
        <v>19</v>
      </c>
      <c r="F1002" s="2" t="s">
        <v>20</v>
      </c>
      <c r="G1002" s="2" t="s">
        <v>64</v>
      </c>
      <c r="H1002" s="2">
        <v>94</v>
      </c>
      <c r="I1002" s="3">
        <v>206</v>
      </c>
      <c r="J1002" s="3">
        <v>19364</v>
      </c>
      <c r="K1002" s="2">
        <v>0</v>
      </c>
      <c r="L1002" s="3">
        <v>19364</v>
      </c>
      <c r="M1002" s="3">
        <v>13494.89</v>
      </c>
      <c r="N1002" s="3">
        <v>5869.11</v>
      </c>
      <c r="O1002" s="4">
        <v>30.31</v>
      </c>
      <c r="P1002" s="2" t="s">
        <v>50</v>
      </c>
    </row>
    <row r="1003" spans="1:16" x14ac:dyDescent="0.3">
      <c r="A1003" s="5">
        <v>1892</v>
      </c>
      <c r="B1003" s="5" t="s">
        <v>70</v>
      </c>
      <c r="C1003" s="5" t="s">
        <v>71</v>
      </c>
      <c r="D1003" s="5" t="s">
        <v>18</v>
      </c>
      <c r="E1003" s="5" t="s">
        <v>44</v>
      </c>
      <c r="F1003" s="5" t="s">
        <v>20</v>
      </c>
      <c r="G1003" s="5" t="s">
        <v>80</v>
      </c>
      <c r="H1003" s="5">
        <v>121</v>
      </c>
      <c r="I1003" s="6">
        <v>86</v>
      </c>
      <c r="J1003" s="6">
        <v>10406</v>
      </c>
      <c r="K1003" s="5">
        <v>10</v>
      </c>
      <c r="L1003" s="6">
        <v>9365.4</v>
      </c>
      <c r="M1003" s="6">
        <v>6241.13</v>
      </c>
      <c r="N1003" s="6">
        <v>3124.27</v>
      </c>
      <c r="O1003" s="7">
        <v>33.36</v>
      </c>
      <c r="P1003" s="5" t="s">
        <v>45</v>
      </c>
    </row>
    <row r="1004" spans="1:16" x14ac:dyDescent="0.3">
      <c r="A1004" s="2">
        <v>2058</v>
      </c>
      <c r="B1004" s="2" t="s">
        <v>76</v>
      </c>
      <c r="C1004" s="2" t="s">
        <v>77</v>
      </c>
      <c r="D1004" s="2" t="s">
        <v>36</v>
      </c>
      <c r="E1004" s="2" t="s">
        <v>42</v>
      </c>
      <c r="F1004" s="2" t="s">
        <v>37</v>
      </c>
      <c r="G1004" s="2" t="s">
        <v>38</v>
      </c>
      <c r="H1004" s="2">
        <v>126</v>
      </c>
      <c r="I1004" s="3">
        <v>2141</v>
      </c>
      <c r="J1004" s="3">
        <v>269766</v>
      </c>
      <c r="K1004" s="2">
        <v>5</v>
      </c>
      <c r="L1004" s="3">
        <v>256277.7</v>
      </c>
      <c r="M1004" s="3">
        <v>150641.99</v>
      </c>
      <c r="N1004" s="3">
        <v>105635.71</v>
      </c>
      <c r="O1004" s="4">
        <v>41.22</v>
      </c>
      <c r="P1004" s="2" t="s">
        <v>50</v>
      </c>
    </row>
    <row r="1005" spans="1:16" x14ac:dyDescent="0.3">
      <c r="A1005" s="5">
        <v>1309</v>
      </c>
      <c r="B1005" s="5" t="s">
        <v>57</v>
      </c>
      <c r="C1005" s="5" t="s">
        <v>58</v>
      </c>
      <c r="D1005" s="5" t="s">
        <v>56</v>
      </c>
      <c r="E1005" s="5" t="s">
        <v>26</v>
      </c>
      <c r="F1005" s="5" t="s">
        <v>37</v>
      </c>
      <c r="G1005" s="5" t="s">
        <v>82</v>
      </c>
      <c r="H1005" s="5">
        <v>123</v>
      </c>
      <c r="I1005" s="6">
        <v>1628</v>
      </c>
      <c r="J1005" s="6">
        <v>200244</v>
      </c>
      <c r="K1005" s="5">
        <v>0</v>
      </c>
      <c r="L1005" s="6">
        <v>200244</v>
      </c>
      <c r="M1005" s="6">
        <v>133974.14000000001</v>
      </c>
      <c r="N1005" s="6">
        <v>66269.86</v>
      </c>
      <c r="O1005" s="7">
        <v>33.090000000000003</v>
      </c>
      <c r="P1005" s="5" t="s">
        <v>45</v>
      </c>
    </row>
    <row r="1006" spans="1:16" x14ac:dyDescent="0.3">
      <c r="A1006" s="2">
        <v>1493</v>
      </c>
      <c r="B1006" s="2" t="s">
        <v>54</v>
      </c>
      <c r="C1006" s="2" t="s">
        <v>55</v>
      </c>
      <c r="D1006" s="2" t="s">
        <v>56</v>
      </c>
      <c r="E1006" s="2" t="s">
        <v>44</v>
      </c>
      <c r="F1006" s="2" t="s">
        <v>20</v>
      </c>
      <c r="G1006" s="2" t="s">
        <v>21</v>
      </c>
      <c r="H1006" s="2">
        <v>60</v>
      </c>
      <c r="I1006" s="3">
        <v>114</v>
      </c>
      <c r="J1006" s="3">
        <v>6840</v>
      </c>
      <c r="K1006" s="2">
        <v>0</v>
      </c>
      <c r="L1006" s="3">
        <v>6840</v>
      </c>
      <c r="M1006" s="3">
        <v>3901.11</v>
      </c>
      <c r="N1006" s="3">
        <v>2938.89</v>
      </c>
      <c r="O1006" s="4">
        <v>42.97</v>
      </c>
      <c r="P1006" s="2" t="s">
        <v>22</v>
      </c>
    </row>
    <row r="1007" spans="1:16" x14ac:dyDescent="0.3">
      <c r="A1007" s="5">
        <v>1303</v>
      </c>
      <c r="B1007" s="5" t="s">
        <v>57</v>
      </c>
      <c r="C1007" s="5" t="s">
        <v>58</v>
      </c>
      <c r="D1007" s="5" t="s">
        <v>56</v>
      </c>
      <c r="E1007" s="5" t="s">
        <v>26</v>
      </c>
      <c r="F1007" s="5" t="s">
        <v>27</v>
      </c>
      <c r="G1007" s="5" t="s">
        <v>83</v>
      </c>
      <c r="H1007" s="5">
        <v>104</v>
      </c>
      <c r="I1007" s="6">
        <v>5029</v>
      </c>
      <c r="J1007" s="6">
        <v>523016</v>
      </c>
      <c r="K1007" s="5">
        <v>15</v>
      </c>
      <c r="L1007" s="6">
        <v>444563.6</v>
      </c>
      <c r="M1007" s="6">
        <v>265474.63</v>
      </c>
      <c r="N1007" s="6">
        <v>179088.97</v>
      </c>
      <c r="O1007" s="7">
        <v>40.28</v>
      </c>
      <c r="P1007" s="5" t="s">
        <v>50</v>
      </c>
    </row>
    <row r="1008" spans="1:16" x14ac:dyDescent="0.3">
      <c r="A1008" s="2">
        <v>1948</v>
      </c>
      <c r="B1008" s="2" t="s">
        <v>34</v>
      </c>
      <c r="C1008" s="2" t="s">
        <v>35</v>
      </c>
      <c r="D1008" s="2" t="s">
        <v>36</v>
      </c>
      <c r="E1008" s="2" t="s">
        <v>19</v>
      </c>
      <c r="F1008" s="2" t="s">
        <v>48</v>
      </c>
      <c r="G1008" s="2" t="s">
        <v>49</v>
      </c>
      <c r="H1008" s="2">
        <v>86</v>
      </c>
      <c r="I1008" s="3">
        <v>770</v>
      </c>
      <c r="J1008" s="3">
        <v>66220</v>
      </c>
      <c r="K1008" s="2">
        <v>10</v>
      </c>
      <c r="L1008" s="3">
        <v>59598</v>
      </c>
      <c r="M1008" s="3">
        <v>36794.339999999997</v>
      </c>
      <c r="N1008" s="3">
        <v>22803.66</v>
      </c>
      <c r="O1008" s="4">
        <v>38.26</v>
      </c>
      <c r="P1008" s="2" t="s">
        <v>61</v>
      </c>
    </row>
    <row r="1009" spans="1:16" x14ac:dyDescent="0.3">
      <c r="A1009" s="5">
        <v>1747</v>
      </c>
      <c r="B1009" s="5" t="s">
        <v>30</v>
      </c>
      <c r="C1009" s="5" t="s">
        <v>31</v>
      </c>
      <c r="D1009" s="5" t="s">
        <v>18</v>
      </c>
      <c r="E1009" s="5" t="s">
        <v>19</v>
      </c>
      <c r="F1009" s="5" t="s">
        <v>48</v>
      </c>
      <c r="G1009" s="5" t="s">
        <v>78</v>
      </c>
      <c r="H1009" s="5">
        <v>39</v>
      </c>
      <c r="I1009" s="6">
        <v>587</v>
      </c>
      <c r="J1009" s="6">
        <v>22893</v>
      </c>
      <c r="K1009" s="5">
        <v>5</v>
      </c>
      <c r="L1009" s="6">
        <v>21748.35</v>
      </c>
      <c r="M1009" s="6">
        <v>15093.79</v>
      </c>
      <c r="N1009" s="6">
        <v>6654.56</v>
      </c>
      <c r="O1009" s="7">
        <v>30.6</v>
      </c>
      <c r="P1009" s="5" t="s">
        <v>61</v>
      </c>
    </row>
    <row r="1010" spans="1:16" x14ac:dyDescent="0.3">
      <c r="A1010" s="5">
        <v>1123</v>
      </c>
      <c r="B1010" s="5" t="s">
        <v>23</v>
      </c>
      <c r="C1010" s="5" t="s">
        <v>24</v>
      </c>
      <c r="D1010" s="5" t="s">
        <v>25</v>
      </c>
      <c r="E1010" s="5" t="s">
        <v>26</v>
      </c>
      <c r="F1010" s="5" t="s">
        <v>48</v>
      </c>
      <c r="G1010" s="5" t="s">
        <v>49</v>
      </c>
      <c r="H1010" s="5">
        <v>61</v>
      </c>
      <c r="I1010" s="6">
        <v>793</v>
      </c>
      <c r="J1010" s="6">
        <v>48373</v>
      </c>
      <c r="K1010" s="5">
        <v>5</v>
      </c>
      <c r="L1010" s="6">
        <v>45954.35</v>
      </c>
      <c r="M1010" s="6">
        <v>27007.86</v>
      </c>
      <c r="N1010" s="6">
        <v>18946.490000000002</v>
      </c>
      <c r="O1010" s="7">
        <v>41.23</v>
      </c>
      <c r="P1010" s="5" t="s">
        <v>29</v>
      </c>
    </row>
    <row r="1011" spans="1:16" x14ac:dyDescent="0.3">
      <c r="A1011" s="2">
        <v>1889</v>
      </c>
      <c r="B1011" s="2" t="s">
        <v>70</v>
      </c>
      <c r="C1011" s="2" t="s">
        <v>71</v>
      </c>
      <c r="D1011" s="2" t="s">
        <v>18</v>
      </c>
      <c r="E1011" s="2" t="s">
        <v>44</v>
      </c>
      <c r="F1011" s="2" t="s">
        <v>32</v>
      </c>
      <c r="G1011" s="2" t="s">
        <v>33</v>
      </c>
      <c r="H1011" s="2">
        <v>46</v>
      </c>
      <c r="I1011" s="3">
        <v>9373</v>
      </c>
      <c r="J1011" s="3">
        <v>431158</v>
      </c>
      <c r="K1011" s="2">
        <v>10</v>
      </c>
      <c r="L1011" s="3">
        <v>388042.2</v>
      </c>
      <c r="M1011" s="3">
        <v>232263.49</v>
      </c>
      <c r="N1011" s="3">
        <v>155778.71</v>
      </c>
      <c r="O1011" s="4">
        <v>40.14</v>
      </c>
      <c r="P1011" s="2" t="s">
        <v>39</v>
      </c>
    </row>
    <row r="1012" spans="1:16" x14ac:dyDescent="0.3">
      <c r="A1012" s="5">
        <v>1549</v>
      </c>
      <c r="B1012" s="5" t="s">
        <v>73</v>
      </c>
      <c r="C1012" s="5" t="s">
        <v>74</v>
      </c>
      <c r="D1012" s="5" t="s">
        <v>56</v>
      </c>
      <c r="E1012" s="5" t="s">
        <v>19</v>
      </c>
      <c r="F1012" s="5" t="s">
        <v>48</v>
      </c>
      <c r="G1012" s="5" t="s">
        <v>51</v>
      </c>
      <c r="H1012" s="5">
        <v>26</v>
      </c>
      <c r="I1012" s="6">
        <v>1893</v>
      </c>
      <c r="J1012" s="6">
        <v>49218</v>
      </c>
      <c r="K1012" s="5">
        <v>15</v>
      </c>
      <c r="L1012" s="6">
        <v>41835.300000000003</v>
      </c>
      <c r="M1012" s="6">
        <v>27407.439999999999</v>
      </c>
      <c r="N1012" s="6">
        <v>14427.86</v>
      </c>
      <c r="O1012" s="7">
        <v>34.49</v>
      </c>
      <c r="P1012" s="5" t="s">
        <v>41</v>
      </c>
    </row>
    <row r="1013" spans="1:16" x14ac:dyDescent="0.3">
      <c r="A1013" s="2">
        <v>1958</v>
      </c>
      <c r="B1013" s="2" t="s">
        <v>34</v>
      </c>
      <c r="C1013" s="2" t="s">
        <v>35</v>
      </c>
      <c r="D1013" s="2" t="s">
        <v>36</v>
      </c>
      <c r="E1013" s="2" t="s">
        <v>42</v>
      </c>
      <c r="F1013" s="2" t="s">
        <v>37</v>
      </c>
      <c r="G1013" s="2" t="s">
        <v>38</v>
      </c>
      <c r="H1013" s="2">
        <v>52</v>
      </c>
      <c r="I1013" s="3">
        <v>1891</v>
      </c>
      <c r="J1013" s="3">
        <v>98332</v>
      </c>
      <c r="K1013" s="2">
        <v>15</v>
      </c>
      <c r="L1013" s="3">
        <v>83582.2</v>
      </c>
      <c r="M1013" s="3">
        <v>55555.49</v>
      </c>
      <c r="N1013" s="3">
        <v>28026.71</v>
      </c>
      <c r="O1013" s="4">
        <v>33.53</v>
      </c>
      <c r="P1013" s="2" t="s">
        <v>43</v>
      </c>
    </row>
    <row r="1014" spans="1:16" x14ac:dyDescent="0.3">
      <c r="A1014" s="5">
        <v>1437</v>
      </c>
      <c r="B1014" s="5" t="s">
        <v>54</v>
      </c>
      <c r="C1014" s="5" t="s">
        <v>55</v>
      </c>
      <c r="D1014" s="5" t="s">
        <v>56</v>
      </c>
      <c r="E1014" s="5" t="s">
        <v>19</v>
      </c>
      <c r="F1014" s="5" t="s">
        <v>32</v>
      </c>
      <c r="G1014" s="5" t="s">
        <v>75</v>
      </c>
      <c r="H1014" s="5">
        <v>83</v>
      </c>
      <c r="I1014" s="6">
        <v>11654</v>
      </c>
      <c r="J1014" s="6">
        <v>967282</v>
      </c>
      <c r="K1014" s="5">
        <v>15</v>
      </c>
      <c r="L1014" s="6">
        <v>822189.7</v>
      </c>
      <c r="M1014" s="6">
        <v>505463.48</v>
      </c>
      <c r="N1014" s="6">
        <v>316726.21999999997</v>
      </c>
      <c r="O1014" s="7">
        <v>38.520000000000003</v>
      </c>
      <c r="P1014" s="5" t="s">
        <v>22</v>
      </c>
    </row>
    <row r="1015" spans="1:16" x14ac:dyDescent="0.3">
      <c r="A1015" s="5">
        <v>1383</v>
      </c>
      <c r="B1015" s="5" t="s">
        <v>57</v>
      </c>
      <c r="C1015" s="5" t="s">
        <v>58</v>
      </c>
      <c r="D1015" s="5" t="s">
        <v>56</v>
      </c>
      <c r="E1015" s="5" t="s">
        <v>44</v>
      </c>
      <c r="F1015" s="5" t="s">
        <v>37</v>
      </c>
      <c r="G1015" s="5" t="s">
        <v>38</v>
      </c>
      <c r="H1015" s="5">
        <v>92</v>
      </c>
      <c r="I1015" s="6">
        <v>2069</v>
      </c>
      <c r="J1015" s="6">
        <v>190348</v>
      </c>
      <c r="K1015" s="5">
        <v>5</v>
      </c>
      <c r="L1015" s="6">
        <v>180830.6</v>
      </c>
      <c r="M1015" s="6">
        <v>119075.51</v>
      </c>
      <c r="N1015" s="6">
        <v>61755.09</v>
      </c>
      <c r="O1015" s="7">
        <v>34.15</v>
      </c>
      <c r="P1015" s="5" t="s">
        <v>22</v>
      </c>
    </row>
    <row r="1016" spans="1:16" x14ac:dyDescent="0.3">
      <c r="A1016" s="2">
        <v>1039</v>
      </c>
      <c r="B1016" s="2" t="s">
        <v>62</v>
      </c>
      <c r="C1016" s="2" t="s">
        <v>63</v>
      </c>
      <c r="D1016" s="2" t="s">
        <v>25</v>
      </c>
      <c r="E1016" s="2" t="s">
        <v>19</v>
      </c>
      <c r="F1016" s="2" t="s">
        <v>32</v>
      </c>
      <c r="G1016" s="2" t="s">
        <v>33</v>
      </c>
      <c r="H1016" s="2">
        <v>68</v>
      </c>
      <c r="I1016" s="3">
        <v>9280</v>
      </c>
      <c r="J1016" s="3">
        <v>631040</v>
      </c>
      <c r="K1016" s="2">
        <v>0</v>
      </c>
      <c r="L1016" s="3">
        <v>631040</v>
      </c>
      <c r="M1016" s="3">
        <v>373437.97</v>
      </c>
      <c r="N1016" s="3">
        <v>257602.03</v>
      </c>
      <c r="O1016" s="4">
        <v>40.82</v>
      </c>
      <c r="P1016" s="2" t="s">
        <v>45</v>
      </c>
    </row>
    <row r="1017" spans="1:16" x14ac:dyDescent="0.3">
      <c r="A1017" s="5">
        <v>1370</v>
      </c>
      <c r="B1017" s="5" t="s">
        <v>57</v>
      </c>
      <c r="C1017" s="5" t="s">
        <v>58</v>
      </c>
      <c r="D1017" s="5" t="s">
        <v>56</v>
      </c>
      <c r="E1017" s="5" t="s">
        <v>42</v>
      </c>
      <c r="F1017" s="5" t="s">
        <v>20</v>
      </c>
      <c r="G1017" s="5" t="s">
        <v>60</v>
      </c>
      <c r="H1017" s="5">
        <v>133</v>
      </c>
      <c r="I1017" s="6">
        <v>90</v>
      </c>
      <c r="J1017" s="6">
        <v>11970</v>
      </c>
      <c r="K1017" s="5">
        <v>0</v>
      </c>
      <c r="L1017" s="6">
        <v>11970</v>
      </c>
      <c r="M1017" s="6">
        <v>7303.2</v>
      </c>
      <c r="N1017" s="6">
        <v>4666.8</v>
      </c>
      <c r="O1017" s="7">
        <v>38.99</v>
      </c>
      <c r="P1017" s="5" t="s">
        <v>29</v>
      </c>
    </row>
    <row r="1018" spans="1:16" x14ac:dyDescent="0.3">
      <c r="A1018" s="2">
        <v>1929</v>
      </c>
      <c r="B1018" s="2" t="s">
        <v>34</v>
      </c>
      <c r="C1018" s="2" t="s">
        <v>35</v>
      </c>
      <c r="D1018" s="2" t="s">
        <v>36</v>
      </c>
      <c r="E1018" s="2" t="s">
        <v>19</v>
      </c>
      <c r="F1018" s="2" t="s">
        <v>27</v>
      </c>
      <c r="G1018" s="2" t="s">
        <v>66</v>
      </c>
      <c r="H1018" s="2">
        <v>136</v>
      </c>
      <c r="I1018" s="3">
        <v>747</v>
      </c>
      <c r="J1018" s="3">
        <v>101592</v>
      </c>
      <c r="K1018" s="2">
        <v>10</v>
      </c>
      <c r="L1018" s="3">
        <v>91432.8</v>
      </c>
      <c r="M1018" s="3">
        <v>58739.46</v>
      </c>
      <c r="N1018" s="3">
        <v>32693.34</v>
      </c>
      <c r="O1018" s="4">
        <v>35.76</v>
      </c>
      <c r="P1018" s="2" t="s">
        <v>39</v>
      </c>
    </row>
    <row r="1019" spans="1:16" x14ac:dyDescent="0.3">
      <c r="A1019" s="5">
        <v>1515</v>
      </c>
      <c r="B1019" s="5" t="s">
        <v>73</v>
      </c>
      <c r="C1019" s="5" t="s">
        <v>74</v>
      </c>
      <c r="D1019" s="5" t="s">
        <v>56</v>
      </c>
      <c r="E1019" s="5" t="s">
        <v>26</v>
      </c>
      <c r="F1019" s="5" t="s">
        <v>32</v>
      </c>
      <c r="G1019" s="5" t="s">
        <v>65</v>
      </c>
      <c r="H1019" s="5">
        <v>165</v>
      </c>
      <c r="I1019" s="6">
        <v>4640</v>
      </c>
      <c r="J1019" s="6">
        <v>765600</v>
      </c>
      <c r="K1019" s="5">
        <v>0</v>
      </c>
      <c r="L1019" s="6">
        <v>765600</v>
      </c>
      <c r="M1019" s="6">
        <v>488786.67</v>
      </c>
      <c r="N1019" s="6">
        <v>276813.33</v>
      </c>
      <c r="O1019" s="7">
        <v>36.159999999999997</v>
      </c>
      <c r="P1019" s="5" t="s">
        <v>22</v>
      </c>
    </row>
    <row r="1020" spans="1:16" x14ac:dyDescent="0.3">
      <c r="A1020" s="2">
        <v>2072</v>
      </c>
      <c r="B1020" s="2" t="s">
        <v>76</v>
      </c>
      <c r="C1020" s="2" t="s">
        <v>77</v>
      </c>
      <c r="D1020" s="2" t="s">
        <v>36</v>
      </c>
      <c r="E1020" s="2" t="s">
        <v>42</v>
      </c>
      <c r="F1020" s="2" t="s">
        <v>48</v>
      </c>
      <c r="G1020" s="2" t="s">
        <v>78</v>
      </c>
      <c r="H1020" s="2">
        <v>89</v>
      </c>
      <c r="I1020" s="3">
        <v>541</v>
      </c>
      <c r="J1020" s="3">
        <v>48149</v>
      </c>
      <c r="K1020" s="2">
        <v>0</v>
      </c>
      <c r="L1020" s="3">
        <v>48149</v>
      </c>
      <c r="M1020" s="3">
        <v>32488.7</v>
      </c>
      <c r="N1020" s="3">
        <v>15660.3</v>
      </c>
      <c r="O1020" s="4">
        <v>32.520000000000003</v>
      </c>
      <c r="P1020" s="2" t="s">
        <v>43</v>
      </c>
    </row>
    <row r="1021" spans="1:16" x14ac:dyDescent="0.3">
      <c r="A1021" s="5">
        <v>1849</v>
      </c>
      <c r="B1021" s="5" t="s">
        <v>70</v>
      </c>
      <c r="C1021" s="5" t="s">
        <v>71</v>
      </c>
      <c r="D1021" s="5" t="s">
        <v>18</v>
      </c>
      <c r="E1021" s="5" t="s">
        <v>19</v>
      </c>
      <c r="F1021" s="5" t="s">
        <v>48</v>
      </c>
      <c r="G1021" s="5" t="s">
        <v>51</v>
      </c>
      <c r="H1021" s="5">
        <v>105</v>
      </c>
      <c r="I1021" s="6">
        <v>2176</v>
      </c>
      <c r="J1021" s="6">
        <v>228480</v>
      </c>
      <c r="K1021" s="5">
        <v>0</v>
      </c>
      <c r="L1021" s="6">
        <v>228480</v>
      </c>
      <c r="M1021" s="6">
        <v>132880.71</v>
      </c>
      <c r="N1021" s="6">
        <v>95599.29</v>
      </c>
      <c r="O1021" s="7">
        <v>41.84</v>
      </c>
      <c r="P1021" s="5" t="s">
        <v>22</v>
      </c>
    </row>
    <row r="1022" spans="1:16" x14ac:dyDescent="0.3">
      <c r="A1022" s="5">
        <v>1642</v>
      </c>
      <c r="B1022" s="5" t="s">
        <v>16</v>
      </c>
      <c r="C1022" s="5" t="s">
        <v>17</v>
      </c>
      <c r="D1022" s="5" t="s">
        <v>18</v>
      </c>
      <c r="E1022" s="5" t="s">
        <v>19</v>
      </c>
      <c r="F1022" s="5" t="s">
        <v>20</v>
      </c>
      <c r="G1022" s="5" t="s">
        <v>80</v>
      </c>
      <c r="H1022" s="5">
        <v>112</v>
      </c>
      <c r="I1022" s="6">
        <v>86</v>
      </c>
      <c r="J1022" s="6">
        <v>9632</v>
      </c>
      <c r="K1022" s="5">
        <v>5</v>
      </c>
      <c r="L1022" s="6">
        <v>9150.4</v>
      </c>
      <c r="M1022" s="6">
        <v>5933.28</v>
      </c>
      <c r="N1022" s="6">
        <v>3217.12</v>
      </c>
      <c r="O1022" s="7">
        <v>35.159999999999997</v>
      </c>
      <c r="P1022" s="5" t="s">
        <v>50</v>
      </c>
    </row>
    <row r="1023" spans="1:16" x14ac:dyDescent="0.3">
      <c r="A1023" s="2">
        <v>1887</v>
      </c>
      <c r="B1023" s="2" t="s">
        <v>70</v>
      </c>
      <c r="C1023" s="2" t="s">
        <v>71</v>
      </c>
      <c r="D1023" s="2" t="s">
        <v>18</v>
      </c>
      <c r="E1023" s="2" t="s">
        <v>44</v>
      </c>
      <c r="F1023" s="2" t="s">
        <v>32</v>
      </c>
      <c r="G1023" s="2" t="s">
        <v>75</v>
      </c>
      <c r="H1023" s="2">
        <v>121</v>
      </c>
      <c r="I1023" s="3">
        <v>10851</v>
      </c>
      <c r="J1023" s="3">
        <v>1312971</v>
      </c>
      <c r="K1023" s="2">
        <v>15</v>
      </c>
      <c r="L1023" s="3">
        <v>1116025.3500000001</v>
      </c>
      <c r="M1023" s="3">
        <v>673772.54</v>
      </c>
      <c r="N1023" s="3">
        <v>442252.81</v>
      </c>
      <c r="O1023" s="4">
        <v>39.630000000000003</v>
      </c>
      <c r="P1023" s="2" t="s">
        <v>61</v>
      </c>
    </row>
    <row r="1024" spans="1:16" x14ac:dyDescent="0.3">
      <c r="A1024" s="5">
        <v>1615</v>
      </c>
      <c r="B1024" s="5" t="s">
        <v>16</v>
      </c>
      <c r="C1024" s="5" t="s">
        <v>17</v>
      </c>
      <c r="D1024" s="5" t="s">
        <v>18</v>
      </c>
      <c r="E1024" s="5" t="s">
        <v>26</v>
      </c>
      <c r="F1024" s="5" t="s">
        <v>32</v>
      </c>
      <c r="G1024" s="5" t="s">
        <v>65</v>
      </c>
      <c r="H1024" s="5">
        <v>162</v>
      </c>
      <c r="I1024" s="6">
        <v>4758</v>
      </c>
      <c r="J1024" s="6">
        <v>770796</v>
      </c>
      <c r="K1024" s="5">
        <v>0</v>
      </c>
      <c r="L1024" s="6">
        <v>770796</v>
      </c>
      <c r="M1024" s="6">
        <v>433999.86</v>
      </c>
      <c r="N1024" s="6">
        <v>336796.14</v>
      </c>
      <c r="O1024" s="7">
        <v>43.69</v>
      </c>
      <c r="P1024" s="5" t="s">
        <v>22</v>
      </c>
    </row>
    <row r="1025" spans="1:16" x14ac:dyDescent="0.3">
      <c r="A1025" s="2">
        <v>2178</v>
      </c>
      <c r="B1025" s="2" t="s">
        <v>46</v>
      </c>
      <c r="C1025" s="2" t="s">
        <v>47</v>
      </c>
      <c r="D1025" s="2" t="s">
        <v>36</v>
      </c>
      <c r="E1025" s="2" t="s">
        <v>44</v>
      </c>
      <c r="F1025" s="2" t="s">
        <v>27</v>
      </c>
      <c r="G1025" s="2" t="s">
        <v>83</v>
      </c>
      <c r="H1025" s="2">
        <v>168</v>
      </c>
      <c r="I1025" s="3">
        <v>5255</v>
      </c>
      <c r="J1025" s="3">
        <v>882840</v>
      </c>
      <c r="K1025" s="2">
        <v>0</v>
      </c>
      <c r="L1025" s="3">
        <v>882840</v>
      </c>
      <c r="M1025" s="3">
        <v>511948.88</v>
      </c>
      <c r="N1025" s="3">
        <v>370891.12</v>
      </c>
      <c r="O1025" s="4">
        <v>42.01</v>
      </c>
      <c r="P1025" s="2" t="s">
        <v>22</v>
      </c>
    </row>
    <row r="1026" spans="1:16" x14ac:dyDescent="0.3">
      <c r="A1026" s="5">
        <v>1619</v>
      </c>
      <c r="B1026" s="5" t="s">
        <v>16</v>
      </c>
      <c r="C1026" s="5" t="s">
        <v>17</v>
      </c>
      <c r="D1026" s="5" t="s">
        <v>18</v>
      </c>
      <c r="E1026" s="5" t="s">
        <v>26</v>
      </c>
      <c r="F1026" s="5" t="s">
        <v>20</v>
      </c>
      <c r="G1026" s="5" t="s">
        <v>68</v>
      </c>
      <c r="H1026" s="5">
        <v>154</v>
      </c>
      <c r="I1026" s="6">
        <v>161</v>
      </c>
      <c r="J1026" s="6">
        <v>24794</v>
      </c>
      <c r="K1026" s="5">
        <v>10</v>
      </c>
      <c r="L1026" s="6">
        <v>22314.6</v>
      </c>
      <c r="M1026" s="6">
        <v>15211.51</v>
      </c>
      <c r="N1026" s="6">
        <v>7103.09</v>
      </c>
      <c r="O1026" s="7">
        <v>31.83</v>
      </c>
      <c r="P1026" s="5" t="s">
        <v>50</v>
      </c>
    </row>
    <row r="1027" spans="1:16" x14ac:dyDescent="0.3">
      <c r="A1027" s="2">
        <v>1158</v>
      </c>
      <c r="B1027" s="2" t="s">
        <v>23</v>
      </c>
      <c r="C1027" s="2" t="s">
        <v>24</v>
      </c>
      <c r="D1027" s="2" t="s">
        <v>25</v>
      </c>
      <c r="E1027" s="2" t="s">
        <v>42</v>
      </c>
      <c r="F1027" s="2" t="s">
        <v>37</v>
      </c>
      <c r="G1027" s="2" t="s">
        <v>38</v>
      </c>
      <c r="H1027" s="2">
        <v>118</v>
      </c>
      <c r="I1027" s="3">
        <v>1910</v>
      </c>
      <c r="J1027" s="3">
        <v>225380</v>
      </c>
      <c r="K1027" s="2">
        <v>15</v>
      </c>
      <c r="L1027" s="3">
        <v>191573</v>
      </c>
      <c r="M1027" s="3">
        <v>115131.79</v>
      </c>
      <c r="N1027" s="3">
        <v>76441.210000000006</v>
      </c>
      <c r="O1027" s="4">
        <v>39.9</v>
      </c>
      <c r="P1027" s="2" t="s">
        <v>50</v>
      </c>
    </row>
    <row r="1028" spans="1:16" x14ac:dyDescent="0.3">
      <c r="A1028" s="5">
        <v>1712</v>
      </c>
      <c r="B1028" s="5" t="s">
        <v>30</v>
      </c>
      <c r="C1028" s="5" t="s">
        <v>31</v>
      </c>
      <c r="D1028" s="5" t="s">
        <v>18</v>
      </c>
      <c r="E1028" s="5" t="s">
        <v>26</v>
      </c>
      <c r="F1028" s="5" t="s">
        <v>32</v>
      </c>
      <c r="G1028" s="5" t="s">
        <v>75</v>
      </c>
      <c r="H1028" s="5">
        <v>55</v>
      </c>
      <c r="I1028" s="6">
        <v>12298</v>
      </c>
      <c r="J1028" s="6">
        <v>676390</v>
      </c>
      <c r="K1028" s="5">
        <v>5</v>
      </c>
      <c r="L1028" s="6">
        <v>642570.5</v>
      </c>
      <c r="M1028" s="6">
        <v>419593.2</v>
      </c>
      <c r="N1028" s="6">
        <v>222977.3</v>
      </c>
      <c r="O1028" s="7">
        <v>34.700000000000003</v>
      </c>
      <c r="P1028" s="5" t="s">
        <v>61</v>
      </c>
    </row>
    <row r="1029" spans="1:16" x14ac:dyDescent="0.3">
      <c r="A1029" s="2">
        <v>1430</v>
      </c>
      <c r="B1029" s="2" t="s">
        <v>54</v>
      </c>
      <c r="C1029" s="2" t="s">
        <v>55</v>
      </c>
      <c r="D1029" s="2" t="s">
        <v>56</v>
      </c>
      <c r="E1029" s="2" t="s">
        <v>19</v>
      </c>
      <c r="F1029" s="2" t="s">
        <v>27</v>
      </c>
      <c r="G1029" s="2" t="s">
        <v>84</v>
      </c>
      <c r="H1029" s="2">
        <v>55</v>
      </c>
      <c r="I1029" s="3">
        <v>16272</v>
      </c>
      <c r="J1029" s="3">
        <v>894960</v>
      </c>
      <c r="K1029" s="2">
        <v>5</v>
      </c>
      <c r="L1029" s="3">
        <v>850212</v>
      </c>
      <c r="M1029" s="3">
        <v>582307.43000000005</v>
      </c>
      <c r="N1029" s="3">
        <v>267904.57</v>
      </c>
      <c r="O1029" s="4">
        <v>31.51</v>
      </c>
      <c r="P1029" s="2" t="s">
        <v>43</v>
      </c>
    </row>
    <row r="1030" spans="1:16" x14ac:dyDescent="0.3">
      <c r="A1030" s="5">
        <v>1875</v>
      </c>
      <c r="B1030" s="5" t="s">
        <v>70</v>
      </c>
      <c r="C1030" s="5" t="s">
        <v>71</v>
      </c>
      <c r="D1030" s="5" t="s">
        <v>18</v>
      </c>
      <c r="E1030" s="5" t="s">
        <v>42</v>
      </c>
      <c r="F1030" s="5" t="s">
        <v>48</v>
      </c>
      <c r="G1030" s="5" t="s">
        <v>72</v>
      </c>
      <c r="H1030" s="5">
        <v>161</v>
      </c>
      <c r="I1030" s="6">
        <v>3650</v>
      </c>
      <c r="J1030" s="6">
        <v>587650</v>
      </c>
      <c r="K1030" s="5">
        <v>15</v>
      </c>
      <c r="L1030" s="6">
        <v>499502.5</v>
      </c>
      <c r="M1030" s="6">
        <v>332510.71999999997</v>
      </c>
      <c r="N1030" s="6">
        <v>166991.78</v>
      </c>
      <c r="O1030" s="7">
        <v>33.43</v>
      </c>
      <c r="P1030" s="5" t="s">
        <v>39</v>
      </c>
    </row>
    <row r="1031" spans="1:16" x14ac:dyDescent="0.3">
      <c r="A1031" s="2">
        <v>1974</v>
      </c>
      <c r="B1031" s="2" t="s">
        <v>34</v>
      </c>
      <c r="C1031" s="2" t="s">
        <v>35</v>
      </c>
      <c r="D1031" s="2" t="s">
        <v>36</v>
      </c>
      <c r="E1031" s="2" t="s">
        <v>42</v>
      </c>
      <c r="F1031" s="2" t="s">
        <v>48</v>
      </c>
      <c r="G1031" s="2" t="s">
        <v>51</v>
      </c>
      <c r="H1031" s="2">
        <v>51</v>
      </c>
      <c r="I1031" s="3">
        <v>1858</v>
      </c>
      <c r="J1031" s="3">
        <v>94758</v>
      </c>
      <c r="K1031" s="2">
        <v>0</v>
      </c>
      <c r="L1031" s="3">
        <v>94758</v>
      </c>
      <c r="M1031" s="3">
        <v>58080.71</v>
      </c>
      <c r="N1031" s="3">
        <v>36677.29</v>
      </c>
      <c r="O1031" s="4">
        <v>38.71</v>
      </c>
      <c r="P1031" s="2" t="s">
        <v>50</v>
      </c>
    </row>
    <row r="1032" spans="1:16" x14ac:dyDescent="0.3">
      <c r="A1032" s="5">
        <v>1138</v>
      </c>
      <c r="B1032" s="5" t="s">
        <v>23</v>
      </c>
      <c r="C1032" s="5" t="s">
        <v>24</v>
      </c>
      <c r="D1032" s="5" t="s">
        <v>25</v>
      </c>
      <c r="E1032" s="5" t="s">
        <v>19</v>
      </c>
      <c r="F1032" s="5" t="s">
        <v>32</v>
      </c>
      <c r="G1032" s="5" t="s">
        <v>81</v>
      </c>
      <c r="H1032" s="5">
        <v>23</v>
      </c>
      <c r="I1032" s="6">
        <v>13254</v>
      </c>
      <c r="J1032" s="6">
        <v>304842</v>
      </c>
      <c r="K1032" s="5">
        <v>5</v>
      </c>
      <c r="L1032" s="6">
        <v>289599.90000000002</v>
      </c>
      <c r="M1032" s="6">
        <v>193503.18</v>
      </c>
      <c r="N1032" s="6">
        <v>96096.72</v>
      </c>
      <c r="O1032" s="7">
        <v>33.18</v>
      </c>
      <c r="P1032" s="5" t="s">
        <v>45</v>
      </c>
    </row>
    <row r="1033" spans="1:16" x14ac:dyDescent="0.3">
      <c r="A1033" s="5">
        <v>1690</v>
      </c>
      <c r="B1033" s="5" t="s">
        <v>16</v>
      </c>
      <c r="C1033" s="5" t="s">
        <v>17</v>
      </c>
      <c r="D1033" s="5" t="s">
        <v>18</v>
      </c>
      <c r="E1033" s="5" t="s">
        <v>44</v>
      </c>
      <c r="F1033" s="5" t="s">
        <v>32</v>
      </c>
      <c r="G1033" s="5" t="s">
        <v>65</v>
      </c>
      <c r="H1033" s="5">
        <v>95</v>
      </c>
      <c r="I1033" s="6">
        <v>5164</v>
      </c>
      <c r="J1033" s="6">
        <v>490580</v>
      </c>
      <c r="K1033" s="5">
        <v>15</v>
      </c>
      <c r="L1033" s="6">
        <v>416993</v>
      </c>
      <c r="M1033" s="6">
        <v>238644.33</v>
      </c>
      <c r="N1033" s="6">
        <v>178348.67</v>
      </c>
      <c r="O1033" s="7">
        <v>42.77</v>
      </c>
      <c r="P1033" s="5" t="s">
        <v>43</v>
      </c>
    </row>
    <row r="1034" spans="1:16" x14ac:dyDescent="0.3">
      <c r="A1034" s="2">
        <v>1195</v>
      </c>
      <c r="B1034" s="2" t="s">
        <v>23</v>
      </c>
      <c r="C1034" s="2" t="s">
        <v>24</v>
      </c>
      <c r="D1034" s="2" t="s">
        <v>25</v>
      </c>
      <c r="E1034" s="2" t="s">
        <v>44</v>
      </c>
      <c r="F1034" s="2" t="s">
        <v>20</v>
      </c>
      <c r="G1034" s="2" t="s">
        <v>60</v>
      </c>
      <c r="H1034" s="2">
        <v>59</v>
      </c>
      <c r="I1034" s="3">
        <v>88</v>
      </c>
      <c r="J1034" s="3">
        <v>5192</v>
      </c>
      <c r="K1034" s="2">
        <v>15</v>
      </c>
      <c r="L1034" s="3">
        <v>4413.2</v>
      </c>
      <c r="M1034" s="3">
        <v>2816.07</v>
      </c>
      <c r="N1034" s="3">
        <v>1597.13</v>
      </c>
      <c r="O1034" s="4">
        <v>36.19</v>
      </c>
      <c r="P1034" s="2" t="s">
        <v>61</v>
      </c>
    </row>
    <row r="1035" spans="1:16" x14ac:dyDescent="0.3">
      <c r="A1035" s="5">
        <v>1189</v>
      </c>
      <c r="B1035" s="5" t="s">
        <v>23</v>
      </c>
      <c r="C1035" s="5" t="s">
        <v>24</v>
      </c>
      <c r="D1035" s="5" t="s">
        <v>25</v>
      </c>
      <c r="E1035" s="5" t="s">
        <v>44</v>
      </c>
      <c r="F1035" s="5" t="s">
        <v>32</v>
      </c>
      <c r="G1035" s="5" t="s">
        <v>33</v>
      </c>
      <c r="H1035" s="5">
        <v>18</v>
      </c>
      <c r="I1035" s="6">
        <v>10073</v>
      </c>
      <c r="J1035" s="6">
        <v>181314</v>
      </c>
      <c r="K1035" s="5">
        <v>20</v>
      </c>
      <c r="L1035" s="6">
        <v>145051.20000000001</v>
      </c>
      <c r="M1035" s="6">
        <v>87797.73</v>
      </c>
      <c r="N1035" s="6">
        <v>57253.47</v>
      </c>
      <c r="O1035" s="7">
        <v>39.47</v>
      </c>
      <c r="P1035" s="5" t="s">
        <v>50</v>
      </c>
    </row>
    <row r="1036" spans="1:16" x14ac:dyDescent="0.3">
      <c r="A1036" s="2">
        <v>1463</v>
      </c>
      <c r="B1036" s="2" t="s">
        <v>54</v>
      </c>
      <c r="C1036" s="2" t="s">
        <v>55</v>
      </c>
      <c r="D1036" s="2" t="s">
        <v>56</v>
      </c>
      <c r="E1036" s="2" t="s">
        <v>42</v>
      </c>
      <c r="F1036" s="2" t="s">
        <v>32</v>
      </c>
      <c r="G1036" s="2" t="s">
        <v>81</v>
      </c>
      <c r="H1036" s="2">
        <v>95</v>
      </c>
      <c r="I1036" s="3">
        <v>14053</v>
      </c>
      <c r="J1036" s="3">
        <v>1335035</v>
      </c>
      <c r="K1036" s="2">
        <v>5</v>
      </c>
      <c r="L1036" s="3">
        <v>1268283.25</v>
      </c>
      <c r="M1036" s="3">
        <v>782361.81</v>
      </c>
      <c r="N1036" s="3">
        <v>485921.44</v>
      </c>
      <c r="O1036" s="4">
        <v>38.31</v>
      </c>
      <c r="P1036" s="2" t="s">
        <v>22</v>
      </c>
    </row>
    <row r="1037" spans="1:16" x14ac:dyDescent="0.3">
      <c r="A1037" s="5">
        <v>1824</v>
      </c>
      <c r="B1037" s="5" t="s">
        <v>70</v>
      </c>
      <c r="C1037" s="5" t="s">
        <v>71</v>
      </c>
      <c r="D1037" s="5" t="s">
        <v>18</v>
      </c>
      <c r="E1037" s="5" t="s">
        <v>26</v>
      </c>
      <c r="F1037" s="5" t="s">
        <v>48</v>
      </c>
      <c r="G1037" s="5" t="s">
        <v>51</v>
      </c>
      <c r="H1037" s="5">
        <v>41</v>
      </c>
      <c r="I1037" s="6">
        <v>1831</v>
      </c>
      <c r="J1037" s="6">
        <v>75071</v>
      </c>
      <c r="K1037" s="5">
        <v>20</v>
      </c>
      <c r="L1037" s="6">
        <v>60056.800000000003</v>
      </c>
      <c r="M1037" s="6">
        <v>38560.910000000003</v>
      </c>
      <c r="N1037" s="6">
        <v>21495.89</v>
      </c>
      <c r="O1037" s="7">
        <v>35.79</v>
      </c>
      <c r="P1037" s="5" t="s">
        <v>43</v>
      </c>
    </row>
    <row r="1038" spans="1:16" x14ac:dyDescent="0.3">
      <c r="A1038" s="2">
        <v>1609</v>
      </c>
      <c r="B1038" s="2" t="s">
        <v>16</v>
      </c>
      <c r="C1038" s="2" t="s">
        <v>17</v>
      </c>
      <c r="D1038" s="2" t="s">
        <v>18</v>
      </c>
      <c r="E1038" s="2" t="s">
        <v>26</v>
      </c>
      <c r="F1038" s="2" t="s">
        <v>37</v>
      </c>
      <c r="G1038" s="2" t="s">
        <v>82</v>
      </c>
      <c r="H1038" s="2">
        <v>39</v>
      </c>
      <c r="I1038" s="3">
        <v>1453</v>
      </c>
      <c r="J1038" s="3">
        <v>56667</v>
      </c>
      <c r="K1038" s="2">
        <v>15</v>
      </c>
      <c r="L1038" s="3">
        <v>48166.95</v>
      </c>
      <c r="M1038" s="3">
        <v>33505.21</v>
      </c>
      <c r="N1038" s="3">
        <v>14661.74</v>
      </c>
      <c r="O1038" s="4">
        <v>30.44</v>
      </c>
      <c r="P1038" s="2" t="s">
        <v>45</v>
      </c>
    </row>
    <row r="1039" spans="1:16" x14ac:dyDescent="0.3">
      <c r="A1039" s="5">
        <v>1098</v>
      </c>
      <c r="B1039" s="5" t="s">
        <v>62</v>
      </c>
      <c r="C1039" s="5" t="s">
        <v>63</v>
      </c>
      <c r="D1039" s="5" t="s">
        <v>25</v>
      </c>
      <c r="E1039" s="5" t="s">
        <v>44</v>
      </c>
      <c r="F1039" s="5" t="s">
        <v>48</v>
      </c>
      <c r="G1039" s="5" t="s">
        <v>49</v>
      </c>
      <c r="H1039" s="5">
        <v>85</v>
      </c>
      <c r="I1039" s="6">
        <v>848</v>
      </c>
      <c r="J1039" s="6">
        <v>72080</v>
      </c>
      <c r="K1039" s="5">
        <v>0</v>
      </c>
      <c r="L1039" s="6">
        <v>72080</v>
      </c>
      <c r="M1039" s="6">
        <v>48731.55</v>
      </c>
      <c r="N1039" s="6">
        <v>23348.45</v>
      </c>
      <c r="O1039" s="7">
        <v>32.39</v>
      </c>
      <c r="P1039" s="5" t="s">
        <v>61</v>
      </c>
    </row>
    <row r="1040" spans="1:16" x14ac:dyDescent="0.3">
      <c r="A1040" s="2">
        <v>1544</v>
      </c>
      <c r="B1040" s="2" t="s">
        <v>73</v>
      </c>
      <c r="C1040" s="2" t="s">
        <v>74</v>
      </c>
      <c r="D1040" s="2" t="s">
        <v>56</v>
      </c>
      <c r="E1040" s="2" t="s">
        <v>19</v>
      </c>
      <c r="F1040" s="2" t="s">
        <v>20</v>
      </c>
      <c r="G1040" s="2" t="s">
        <v>68</v>
      </c>
      <c r="H1040" s="2">
        <v>97</v>
      </c>
      <c r="I1040" s="3">
        <v>144</v>
      </c>
      <c r="J1040" s="3">
        <v>13968</v>
      </c>
      <c r="K1040" s="2">
        <v>5</v>
      </c>
      <c r="L1040" s="3">
        <v>13269.6</v>
      </c>
      <c r="M1040" s="3">
        <v>8221.7000000000007</v>
      </c>
      <c r="N1040" s="3">
        <v>5047.8999999999996</v>
      </c>
      <c r="O1040" s="4">
        <v>38.04</v>
      </c>
      <c r="P1040" s="2" t="s">
        <v>39</v>
      </c>
    </row>
    <row r="1041" spans="1:16" x14ac:dyDescent="0.3">
      <c r="A1041" s="5">
        <v>1589</v>
      </c>
      <c r="B1041" s="5" t="s">
        <v>73</v>
      </c>
      <c r="C1041" s="5" t="s">
        <v>74</v>
      </c>
      <c r="D1041" s="5" t="s">
        <v>56</v>
      </c>
      <c r="E1041" s="5" t="s">
        <v>44</v>
      </c>
      <c r="F1041" s="5" t="s">
        <v>32</v>
      </c>
      <c r="G1041" s="5" t="s">
        <v>33</v>
      </c>
      <c r="H1041" s="5">
        <v>48</v>
      </c>
      <c r="I1041" s="6">
        <v>9636</v>
      </c>
      <c r="J1041" s="6">
        <v>462528</v>
      </c>
      <c r="K1041" s="5">
        <v>5</v>
      </c>
      <c r="L1041" s="6">
        <v>439401.6</v>
      </c>
      <c r="M1041" s="6">
        <v>283830.15000000002</v>
      </c>
      <c r="N1041" s="6">
        <v>155571.45000000001</v>
      </c>
      <c r="O1041" s="7">
        <v>35.409999999999997</v>
      </c>
      <c r="P1041" s="5" t="s">
        <v>29</v>
      </c>
    </row>
    <row r="1042" spans="1:16" x14ac:dyDescent="0.3">
      <c r="A1042" s="2">
        <v>1439</v>
      </c>
      <c r="B1042" s="2" t="s">
        <v>54</v>
      </c>
      <c r="C1042" s="2" t="s">
        <v>55</v>
      </c>
      <c r="D1042" s="2" t="s">
        <v>56</v>
      </c>
      <c r="E1042" s="2" t="s">
        <v>19</v>
      </c>
      <c r="F1042" s="2" t="s">
        <v>32</v>
      </c>
      <c r="G1042" s="2" t="s">
        <v>33</v>
      </c>
      <c r="H1042" s="2">
        <v>54</v>
      </c>
      <c r="I1042" s="3">
        <v>9760</v>
      </c>
      <c r="J1042" s="3">
        <v>527040</v>
      </c>
      <c r="K1042" s="2">
        <v>0</v>
      </c>
      <c r="L1042" s="3">
        <v>527040</v>
      </c>
      <c r="M1042" s="3">
        <v>348346.19</v>
      </c>
      <c r="N1042" s="3">
        <v>178693.81</v>
      </c>
      <c r="O1042" s="4">
        <v>33.909999999999997</v>
      </c>
      <c r="P1042" s="2" t="s">
        <v>41</v>
      </c>
    </row>
    <row r="1043" spans="1:16" x14ac:dyDescent="0.3">
      <c r="A1043" s="5">
        <v>1155</v>
      </c>
      <c r="B1043" s="5" t="s">
        <v>23</v>
      </c>
      <c r="C1043" s="5" t="s">
        <v>24</v>
      </c>
      <c r="D1043" s="5" t="s">
        <v>25</v>
      </c>
      <c r="E1043" s="5" t="s">
        <v>42</v>
      </c>
      <c r="F1043" s="5" t="s">
        <v>27</v>
      </c>
      <c r="G1043" s="5" t="s">
        <v>84</v>
      </c>
      <c r="H1043" s="5">
        <v>71</v>
      </c>
      <c r="I1043" s="6">
        <v>13852</v>
      </c>
      <c r="J1043" s="6">
        <v>983492</v>
      </c>
      <c r="K1043" s="5">
        <v>0</v>
      </c>
      <c r="L1043" s="6">
        <v>983492</v>
      </c>
      <c r="M1043" s="6">
        <v>614442.85</v>
      </c>
      <c r="N1043" s="6">
        <v>369049.15</v>
      </c>
      <c r="O1043" s="7">
        <v>37.520000000000003</v>
      </c>
      <c r="P1043" s="5" t="s">
        <v>50</v>
      </c>
    </row>
    <row r="1044" spans="1:16" x14ac:dyDescent="0.3">
      <c r="A1044" s="2">
        <v>2087</v>
      </c>
      <c r="B1044" s="2" t="s">
        <v>76</v>
      </c>
      <c r="C1044" s="2" t="s">
        <v>77</v>
      </c>
      <c r="D1044" s="2" t="s">
        <v>36</v>
      </c>
      <c r="E1044" s="2" t="s">
        <v>44</v>
      </c>
      <c r="F1044" s="2" t="s">
        <v>32</v>
      </c>
      <c r="G1044" s="2" t="s">
        <v>75</v>
      </c>
      <c r="H1044" s="2">
        <v>115</v>
      </c>
      <c r="I1044" s="3">
        <v>11769</v>
      </c>
      <c r="J1044" s="3">
        <v>1353435</v>
      </c>
      <c r="K1044" s="2">
        <v>0</v>
      </c>
      <c r="L1044" s="3">
        <v>1353435</v>
      </c>
      <c r="M1044" s="3">
        <v>854043.62</v>
      </c>
      <c r="N1044" s="3">
        <v>499391.38</v>
      </c>
      <c r="O1044" s="4">
        <v>36.9</v>
      </c>
      <c r="P1044" s="2" t="s">
        <v>43</v>
      </c>
    </row>
    <row r="1045" spans="1:16" x14ac:dyDescent="0.3">
      <c r="A1045" s="5">
        <v>2182</v>
      </c>
      <c r="B1045" s="5" t="s">
        <v>46</v>
      </c>
      <c r="C1045" s="5" t="s">
        <v>47</v>
      </c>
      <c r="D1045" s="5" t="s">
        <v>36</v>
      </c>
      <c r="E1045" s="5" t="s">
        <v>44</v>
      </c>
      <c r="F1045" s="5" t="s">
        <v>37</v>
      </c>
      <c r="G1045" s="5" t="s">
        <v>79</v>
      </c>
      <c r="H1045" s="5">
        <v>111</v>
      </c>
      <c r="I1045" s="6">
        <v>1198</v>
      </c>
      <c r="J1045" s="6">
        <v>132978</v>
      </c>
      <c r="K1045" s="5">
        <v>5</v>
      </c>
      <c r="L1045" s="6">
        <v>126329.1</v>
      </c>
      <c r="M1045" s="6">
        <v>70019.97</v>
      </c>
      <c r="N1045" s="6">
        <v>56309.13</v>
      </c>
      <c r="O1045" s="7">
        <v>44.57</v>
      </c>
      <c r="P1045" s="5" t="s">
        <v>50</v>
      </c>
    </row>
    <row r="1046" spans="1:16" x14ac:dyDescent="0.3">
      <c r="A1046" s="2">
        <v>1893</v>
      </c>
      <c r="B1046" s="2" t="s">
        <v>70</v>
      </c>
      <c r="C1046" s="2" t="s">
        <v>71</v>
      </c>
      <c r="D1046" s="2" t="s">
        <v>18</v>
      </c>
      <c r="E1046" s="2" t="s">
        <v>44</v>
      </c>
      <c r="F1046" s="2" t="s">
        <v>20</v>
      </c>
      <c r="G1046" s="2" t="s">
        <v>21</v>
      </c>
      <c r="H1046" s="2">
        <v>64</v>
      </c>
      <c r="I1046" s="3">
        <v>110</v>
      </c>
      <c r="J1046" s="3">
        <v>7040</v>
      </c>
      <c r="K1046" s="2">
        <v>15</v>
      </c>
      <c r="L1046" s="3">
        <v>5984</v>
      </c>
      <c r="M1046" s="3">
        <v>3461.63</v>
      </c>
      <c r="N1046" s="3">
        <v>2522.37</v>
      </c>
      <c r="O1046" s="4">
        <v>42.15</v>
      </c>
      <c r="P1046" s="2" t="s">
        <v>39</v>
      </c>
    </row>
    <row r="1047" spans="1:16" x14ac:dyDescent="0.3">
      <c r="A1047" s="2">
        <v>1614</v>
      </c>
      <c r="B1047" s="2" t="s">
        <v>16</v>
      </c>
      <c r="C1047" s="2" t="s">
        <v>17</v>
      </c>
      <c r="D1047" s="2" t="s">
        <v>18</v>
      </c>
      <c r="E1047" s="2" t="s">
        <v>26</v>
      </c>
      <c r="F1047" s="2" t="s">
        <v>32</v>
      </c>
      <c r="G1047" s="2" t="s">
        <v>33</v>
      </c>
      <c r="H1047" s="2">
        <v>32</v>
      </c>
      <c r="I1047" s="3">
        <v>9157</v>
      </c>
      <c r="J1047" s="3">
        <v>293024</v>
      </c>
      <c r="K1047" s="2">
        <v>15</v>
      </c>
      <c r="L1047" s="3">
        <v>249070.4</v>
      </c>
      <c r="M1047" s="3">
        <v>144532.54</v>
      </c>
      <c r="N1047" s="3">
        <v>104537.86</v>
      </c>
      <c r="O1047" s="4">
        <v>41.97</v>
      </c>
      <c r="P1047" s="2" t="s">
        <v>61</v>
      </c>
    </row>
    <row r="1048" spans="1:16" x14ac:dyDescent="0.3">
      <c r="A1048" s="5">
        <v>1342</v>
      </c>
      <c r="B1048" s="5" t="s">
        <v>57</v>
      </c>
      <c r="C1048" s="5" t="s">
        <v>58</v>
      </c>
      <c r="D1048" s="5" t="s">
        <v>56</v>
      </c>
      <c r="E1048" s="5" t="s">
        <v>19</v>
      </c>
      <c r="F1048" s="5" t="s">
        <v>20</v>
      </c>
      <c r="G1048" s="5" t="s">
        <v>80</v>
      </c>
      <c r="H1048" s="5">
        <v>106</v>
      </c>
      <c r="I1048" s="6">
        <v>77</v>
      </c>
      <c r="J1048" s="6">
        <v>8162</v>
      </c>
      <c r="K1048" s="5">
        <v>0</v>
      </c>
      <c r="L1048" s="6">
        <v>8162</v>
      </c>
      <c r="M1048" s="6">
        <v>4940.08</v>
      </c>
      <c r="N1048" s="6">
        <v>3221.92</v>
      </c>
      <c r="O1048" s="7">
        <v>39.47</v>
      </c>
      <c r="P1048" s="5" t="s">
        <v>29</v>
      </c>
    </row>
    <row r="1049" spans="1:16" x14ac:dyDescent="0.3">
      <c r="A1049" s="2">
        <v>1696</v>
      </c>
      <c r="B1049" s="2" t="s">
        <v>16</v>
      </c>
      <c r="C1049" s="2" t="s">
        <v>17</v>
      </c>
      <c r="D1049" s="2" t="s">
        <v>18</v>
      </c>
      <c r="E1049" s="2" t="s">
        <v>44</v>
      </c>
      <c r="F1049" s="2" t="s">
        <v>48</v>
      </c>
      <c r="G1049" s="2" t="s">
        <v>69</v>
      </c>
      <c r="H1049" s="2">
        <v>38</v>
      </c>
      <c r="I1049" s="3">
        <v>1179</v>
      </c>
      <c r="J1049" s="3">
        <v>44802</v>
      </c>
      <c r="K1049" s="2">
        <v>0</v>
      </c>
      <c r="L1049" s="3">
        <v>44802</v>
      </c>
      <c r="M1049" s="3">
        <v>30191.45</v>
      </c>
      <c r="N1049" s="3">
        <v>14610.55</v>
      </c>
      <c r="O1049" s="4">
        <v>32.61</v>
      </c>
      <c r="P1049" s="2" t="s">
        <v>50</v>
      </c>
    </row>
    <row r="1050" spans="1:16" x14ac:dyDescent="0.3">
      <c r="A1050" s="5">
        <v>2030</v>
      </c>
      <c r="B1050" s="5" t="s">
        <v>76</v>
      </c>
      <c r="C1050" s="5" t="s">
        <v>77</v>
      </c>
      <c r="D1050" s="5" t="s">
        <v>36</v>
      </c>
      <c r="E1050" s="5" t="s">
        <v>19</v>
      </c>
      <c r="F1050" s="5" t="s">
        <v>27</v>
      </c>
      <c r="G1050" s="5" t="s">
        <v>84</v>
      </c>
      <c r="H1050" s="5">
        <v>124</v>
      </c>
      <c r="I1050" s="6">
        <v>14527</v>
      </c>
      <c r="J1050" s="6">
        <v>1801348</v>
      </c>
      <c r="K1050" s="5">
        <v>5</v>
      </c>
      <c r="L1050" s="6">
        <v>1711280.6</v>
      </c>
      <c r="M1050" s="6">
        <v>985634</v>
      </c>
      <c r="N1050" s="6">
        <v>725646.6</v>
      </c>
      <c r="O1050" s="7">
        <v>42.4</v>
      </c>
      <c r="P1050" s="5" t="s">
        <v>29</v>
      </c>
    </row>
    <row r="1051" spans="1:16" x14ac:dyDescent="0.3">
      <c r="A1051" s="2">
        <v>2018</v>
      </c>
      <c r="B1051" s="2" t="s">
        <v>76</v>
      </c>
      <c r="C1051" s="2" t="s">
        <v>77</v>
      </c>
      <c r="D1051" s="2" t="s">
        <v>36</v>
      </c>
      <c r="E1051" s="2" t="s">
        <v>26</v>
      </c>
      <c r="F1051" s="2" t="s">
        <v>20</v>
      </c>
      <c r="G1051" s="2" t="s">
        <v>21</v>
      </c>
      <c r="H1051" s="2">
        <v>48</v>
      </c>
      <c r="I1051" s="3">
        <v>117</v>
      </c>
      <c r="J1051" s="3">
        <v>5616</v>
      </c>
      <c r="K1051" s="2">
        <v>20</v>
      </c>
      <c r="L1051" s="3">
        <v>4492.8</v>
      </c>
      <c r="M1051" s="3">
        <v>2886.39</v>
      </c>
      <c r="N1051" s="3">
        <v>1606.41</v>
      </c>
      <c r="O1051" s="4">
        <v>35.76</v>
      </c>
      <c r="P1051" s="2" t="s">
        <v>50</v>
      </c>
    </row>
    <row r="1052" spans="1:16" x14ac:dyDescent="0.3">
      <c r="A1052" s="5">
        <v>1689</v>
      </c>
      <c r="B1052" s="5" t="s">
        <v>16</v>
      </c>
      <c r="C1052" s="5" t="s">
        <v>17</v>
      </c>
      <c r="D1052" s="5" t="s">
        <v>18</v>
      </c>
      <c r="E1052" s="5" t="s">
        <v>44</v>
      </c>
      <c r="F1052" s="5" t="s">
        <v>32</v>
      </c>
      <c r="G1052" s="5" t="s">
        <v>33</v>
      </c>
      <c r="H1052" s="5">
        <v>100</v>
      </c>
      <c r="I1052" s="6">
        <v>10376</v>
      </c>
      <c r="J1052" s="6">
        <v>1037600</v>
      </c>
      <c r="K1052" s="5">
        <v>0</v>
      </c>
      <c r="L1052" s="6">
        <v>1037600</v>
      </c>
      <c r="M1052" s="6">
        <v>638048.44999999995</v>
      </c>
      <c r="N1052" s="6">
        <v>399551.55</v>
      </c>
      <c r="O1052" s="7">
        <v>38.51</v>
      </c>
      <c r="P1052" s="5" t="s">
        <v>45</v>
      </c>
    </row>
    <row r="1053" spans="1:16" x14ac:dyDescent="0.3">
      <c r="A1053" s="2">
        <v>1422</v>
      </c>
      <c r="B1053" s="2" t="s">
        <v>54</v>
      </c>
      <c r="C1053" s="2" t="s">
        <v>55</v>
      </c>
      <c r="D1053" s="2" t="s">
        <v>56</v>
      </c>
      <c r="E1053" s="2" t="s">
        <v>26</v>
      </c>
      <c r="F1053" s="2" t="s">
        <v>48</v>
      </c>
      <c r="G1053" s="2" t="s">
        <v>78</v>
      </c>
      <c r="H1053" s="2">
        <v>103</v>
      </c>
      <c r="I1053" s="3">
        <v>574</v>
      </c>
      <c r="J1053" s="3">
        <v>59122</v>
      </c>
      <c r="K1053" s="2">
        <v>15</v>
      </c>
      <c r="L1053" s="3">
        <v>50253.7</v>
      </c>
      <c r="M1053" s="3">
        <v>33716.47</v>
      </c>
      <c r="N1053" s="3">
        <v>16537.23</v>
      </c>
      <c r="O1053" s="4">
        <v>32.909999999999997</v>
      </c>
      <c r="P1053" s="2" t="s">
        <v>61</v>
      </c>
    </row>
    <row r="1054" spans="1:16" x14ac:dyDescent="0.3">
      <c r="A1054" s="5">
        <v>1205</v>
      </c>
      <c r="B1054" s="5" t="s">
        <v>52</v>
      </c>
      <c r="C1054" s="5" t="s">
        <v>53</v>
      </c>
      <c r="D1054" s="5" t="s">
        <v>25</v>
      </c>
      <c r="E1054" s="5" t="s">
        <v>26</v>
      </c>
      <c r="F1054" s="5" t="s">
        <v>27</v>
      </c>
      <c r="G1054" s="5" t="s">
        <v>84</v>
      </c>
      <c r="H1054" s="5">
        <v>36</v>
      </c>
      <c r="I1054" s="6">
        <v>14575</v>
      </c>
      <c r="J1054" s="6">
        <v>524700</v>
      </c>
      <c r="K1054" s="5">
        <v>5</v>
      </c>
      <c r="L1054" s="6">
        <v>498465</v>
      </c>
      <c r="M1054" s="6">
        <v>318184.14</v>
      </c>
      <c r="N1054" s="6">
        <v>180280.86</v>
      </c>
      <c r="O1054" s="7">
        <v>36.17</v>
      </c>
      <c r="P1054" s="5" t="s">
        <v>43</v>
      </c>
    </row>
    <row r="1055" spans="1:16" x14ac:dyDescent="0.3">
      <c r="A1055" s="2">
        <v>2001</v>
      </c>
      <c r="B1055" s="2" t="s">
        <v>76</v>
      </c>
      <c r="C1055" s="2" t="s">
        <v>77</v>
      </c>
      <c r="D1055" s="2" t="s">
        <v>36</v>
      </c>
      <c r="E1055" s="2" t="s">
        <v>26</v>
      </c>
      <c r="F1055" s="2" t="s">
        <v>27</v>
      </c>
      <c r="G1055" s="2" t="s">
        <v>85</v>
      </c>
      <c r="H1055" s="2">
        <v>224</v>
      </c>
      <c r="I1055" s="3">
        <v>11473</v>
      </c>
      <c r="J1055" s="3">
        <v>2569952</v>
      </c>
      <c r="K1055" s="2">
        <v>0</v>
      </c>
      <c r="L1055" s="3">
        <v>2569952</v>
      </c>
      <c r="M1055" s="3">
        <v>1544214.42</v>
      </c>
      <c r="N1055" s="3">
        <v>1025737.58</v>
      </c>
      <c r="O1055" s="4">
        <v>39.909999999999997</v>
      </c>
      <c r="P1055" s="2" t="s">
        <v>22</v>
      </c>
    </row>
    <row r="1056" spans="1:16" x14ac:dyDescent="0.3">
      <c r="A1056" s="5">
        <v>1201</v>
      </c>
      <c r="B1056" s="5" t="s">
        <v>52</v>
      </c>
      <c r="C1056" s="5" t="s">
        <v>53</v>
      </c>
      <c r="D1056" s="5" t="s">
        <v>25</v>
      </c>
      <c r="E1056" s="5" t="s">
        <v>26</v>
      </c>
      <c r="F1056" s="5" t="s">
        <v>27</v>
      </c>
      <c r="G1056" s="5" t="s">
        <v>85</v>
      </c>
      <c r="H1056" s="5">
        <v>147</v>
      </c>
      <c r="I1056" s="6">
        <v>12689</v>
      </c>
      <c r="J1056" s="6">
        <v>1865283</v>
      </c>
      <c r="K1056" s="5">
        <v>5</v>
      </c>
      <c r="L1056" s="6">
        <v>1772018.85</v>
      </c>
      <c r="M1056" s="6">
        <v>992847.14</v>
      </c>
      <c r="N1056" s="6">
        <v>779171.71</v>
      </c>
      <c r="O1056" s="7">
        <v>43.97</v>
      </c>
      <c r="P1056" s="5" t="s">
        <v>45</v>
      </c>
    </row>
    <row r="1057" spans="1:16" x14ac:dyDescent="0.3">
      <c r="A1057" s="2">
        <v>1661</v>
      </c>
      <c r="B1057" s="2" t="s">
        <v>16</v>
      </c>
      <c r="C1057" s="2" t="s">
        <v>17</v>
      </c>
      <c r="D1057" s="2" t="s">
        <v>18</v>
      </c>
      <c r="E1057" s="2" t="s">
        <v>42</v>
      </c>
      <c r="F1057" s="2" t="s">
        <v>32</v>
      </c>
      <c r="G1057" s="2" t="s">
        <v>40</v>
      </c>
      <c r="H1057" s="2">
        <v>73</v>
      </c>
      <c r="I1057" s="3">
        <v>16570</v>
      </c>
      <c r="J1057" s="3">
        <v>1209610</v>
      </c>
      <c r="K1057" s="2">
        <v>5</v>
      </c>
      <c r="L1057" s="3">
        <v>1149129.5</v>
      </c>
      <c r="M1057" s="3">
        <v>660810.4</v>
      </c>
      <c r="N1057" s="3">
        <v>488319.1</v>
      </c>
      <c r="O1057" s="4">
        <v>42.49</v>
      </c>
      <c r="P1057" s="2" t="s">
        <v>43</v>
      </c>
    </row>
    <row r="1058" spans="1:16" x14ac:dyDescent="0.3">
      <c r="A1058" s="5">
        <v>1800</v>
      </c>
      <c r="B1058" s="5" t="s">
        <v>30</v>
      </c>
      <c r="C1058" s="5" t="s">
        <v>31</v>
      </c>
      <c r="D1058" s="5" t="s">
        <v>18</v>
      </c>
      <c r="E1058" s="5" t="s">
        <v>44</v>
      </c>
      <c r="F1058" s="5" t="s">
        <v>48</v>
      </c>
      <c r="G1058" s="5" t="s">
        <v>72</v>
      </c>
      <c r="H1058" s="5">
        <v>127</v>
      </c>
      <c r="I1058" s="6">
        <v>3748</v>
      </c>
      <c r="J1058" s="6">
        <v>475996</v>
      </c>
      <c r="K1058" s="5">
        <v>0</v>
      </c>
      <c r="L1058" s="6">
        <v>475996</v>
      </c>
      <c r="M1058" s="6">
        <v>315191.28000000003</v>
      </c>
      <c r="N1058" s="6">
        <v>160804.72</v>
      </c>
      <c r="O1058" s="7">
        <v>33.78</v>
      </c>
      <c r="P1058" s="5" t="s">
        <v>39</v>
      </c>
    </row>
    <row r="1059" spans="1:16" x14ac:dyDescent="0.3">
      <c r="A1059" s="2">
        <v>2138</v>
      </c>
      <c r="B1059" s="2" t="s">
        <v>46</v>
      </c>
      <c r="C1059" s="2" t="s">
        <v>47</v>
      </c>
      <c r="D1059" s="2" t="s">
        <v>36</v>
      </c>
      <c r="E1059" s="2" t="s">
        <v>19</v>
      </c>
      <c r="F1059" s="2" t="s">
        <v>32</v>
      </c>
      <c r="G1059" s="2" t="s">
        <v>81</v>
      </c>
      <c r="H1059" s="2">
        <v>144</v>
      </c>
      <c r="I1059" s="3">
        <v>14571</v>
      </c>
      <c r="J1059" s="3">
        <v>2098224</v>
      </c>
      <c r="K1059" s="2">
        <v>0</v>
      </c>
      <c r="L1059" s="3">
        <v>2098224</v>
      </c>
      <c r="M1059" s="3">
        <v>1424814.53</v>
      </c>
      <c r="N1059" s="3">
        <v>673409.47</v>
      </c>
      <c r="O1059" s="4">
        <v>32.090000000000003</v>
      </c>
      <c r="P1059" s="2" t="s">
        <v>29</v>
      </c>
    </row>
    <row r="1060" spans="1:16" x14ac:dyDescent="0.3">
      <c r="A1060" s="5">
        <v>1649</v>
      </c>
      <c r="B1060" s="5" t="s">
        <v>16</v>
      </c>
      <c r="C1060" s="5" t="s">
        <v>17</v>
      </c>
      <c r="D1060" s="5" t="s">
        <v>18</v>
      </c>
      <c r="E1060" s="5" t="s">
        <v>19</v>
      </c>
      <c r="F1060" s="5" t="s">
        <v>48</v>
      </c>
      <c r="G1060" s="5" t="s">
        <v>51</v>
      </c>
      <c r="H1060" s="5">
        <v>114</v>
      </c>
      <c r="I1060" s="6">
        <v>1889</v>
      </c>
      <c r="J1060" s="6">
        <v>215346</v>
      </c>
      <c r="K1060" s="5">
        <v>5</v>
      </c>
      <c r="L1060" s="6">
        <v>204578.7</v>
      </c>
      <c r="M1060" s="6">
        <v>135355.71</v>
      </c>
      <c r="N1060" s="6">
        <v>69222.990000000005</v>
      </c>
      <c r="O1060" s="7">
        <v>33.840000000000003</v>
      </c>
      <c r="P1060" s="5" t="s">
        <v>50</v>
      </c>
    </row>
    <row r="1061" spans="1:16" x14ac:dyDescent="0.3">
      <c r="A1061" s="2">
        <v>1046</v>
      </c>
      <c r="B1061" s="2" t="s">
        <v>62</v>
      </c>
      <c r="C1061" s="2" t="s">
        <v>63</v>
      </c>
      <c r="D1061" s="2" t="s">
        <v>25</v>
      </c>
      <c r="E1061" s="2" t="s">
        <v>19</v>
      </c>
      <c r="F1061" s="2" t="s">
        <v>48</v>
      </c>
      <c r="G1061" s="2" t="s">
        <v>69</v>
      </c>
      <c r="H1061" s="2">
        <v>20</v>
      </c>
      <c r="I1061" s="3">
        <v>1202</v>
      </c>
      <c r="J1061" s="3">
        <v>24040</v>
      </c>
      <c r="K1061" s="2">
        <v>0</v>
      </c>
      <c r="L1061" s="3">
        <v>24040</v>
      </c>
      <c r="M1061" s="3">
        <v>13469.09</v>
      </c>
      <c r="N1061" s="3">
        <v>10570.91</v>
      </c>
      <c r="O1061" s="4">
        <v>43.97</v>
      </c>
      <c r="P1061" s="2" t="s">
        <v>29</v>
      </c>
    </row>
    <row r="1062" spans="1:16" x14ac:dyDescent="0.3">
      <c r="A1062" s="5">
        <v>1962</v>
      </c>
      <c r="B1062" s="5" t="s">
        <v>34</v>
      </c>
      <c r="C1062" s="5" t="s">
        <v>35</v>
      </c>
      <c r="D1062" s="5" t="s">
        <v>36</v>
      </c>
      <c r="E1062" s="5" t="s">
        <v>42</v>
      </c>
      <c r="F1062" s="5" t="s">
        <v>32</v>
      </c>
      <c r="G1062" s="5" t="s">
        <v>75</v>
      </c>
      <c r="H1062" s="5">
        <v>124</v>
      </c>
      <c r="I1062" s="6">
        <v>12778</v>
      </c>
      <c r="J1062" s="6">
        <v>1584472</v>
      </c>
      <c r="K1062" s="5">
        <v>10</v>
      </c>
      <c r="L1062" s="6">
        <v>1426024.8</v>
      </c>
      <c r="M1062" s="6">
        <v>868623.94</v>
      </c>
      <c r="N1062" s="6">
        <v>557400.86</v>
      </c>
      <c r="O1062" s="7">
        <v>39.090000000000003</v>
      </c>
      <c r="P1062" s="5" t="s">
        <v>43</v>
      </c>
    </row>
    <row r="1063" spans="1:16" x14ac:dyDescent="0.3">
      <c r="A1063" s="2">
        <v>1042</v>
      </c>
      <c r="B1063" s="2" t="s">
        <v>62</v>
      </c>
      <c r="C1063" s="2" t="s">
        <v>63</v>
      </c>
      <c r="D1063" s="2" t="s">
        <v>25</v>
      </c>
      <c r="E1063" s="2" t="s">
        <v>19</v>
      </c>
      <c r="F1063" s="2" t="s">
        <v>20</v>
      </c>
      <c r="G1063" s="2" t="s">
        <v>80</v>
      </c>
      <c r="H1063" s="2">
        <v>62</v>
      </c>
      <c r="I1063" s="3">
        <v>86</v>
      </c>
      <c r="J1063" s="3">
        <v>5332</v>
      </c>
      <c r="K1063" s="2">
        <v>0</v>
      </c>
      <c r="L1063" s="3">
        <v>5332</v>
      </c>
      <c r="M1063" s="3">
        <v>3064.28</v>
      </c>
      <c r="N1063" s="3">
        <v>2267.7199999999998</v>
      </c>
      <c r="O1063" s="4">
        <v>42.53</v>
      </c>
      <c r="P1063" s="2" t="s">
        <v>43</v>
      </c>
    </row>
    <row r="1064" spans="1:16" x14ac:dyDescent="0.3">
      <c r="A1064" s="5">
        <v>1547</v>
      </c>
      <c r="B1064" s="5" t="s">
        <v>73</v>
      </c>
      <c r="C1064" s="5" t="s">
        <v>74</v>
      </c>
      <c r="D1064" s="5" t="s">
        <v>56</v>
      </c>
      <c r="E1064" s="5" t="s">
        <v>19</v>
      </c>
      <c r="F1064" s="5" t="s">
        <v>48</v>
      </c>
      <c r="G1064" s="5" t="s">
        <v>78</v>
      </c>
      <c r="H1064" s="5">
        <v>124</v>
      </c>
      <c r="I1064" s="6">
        <v>585</v>
      </c>
      <c r="J1064" s="6">
        <v>72540</v>
      </c>
      <c r="K1064" s="5">
        <v>5</v>
      </c>
      <c r="L1064" s="6">
        <v>68913</v>
      </c>
      <c r="M1064" s="6">
        <v>38976.67</v>
      </c>
      <c r="N1064" s="6">
        <v>29936.33</v>
      </c>
      <c r="O1064" s="7">
        <v>43.44</v>
      </c>
      <c r="P1064" s="5" t="s">
        <v>45</v>
      </c>
    </row>
    <row r="1065" spans="1:16" x14ac:dyDescent="0.3">
      <c r="A1065" s="2">
        <v>1863</v>
      </c>
      <c r="B1065" s="2" t="s">
        <v>70</v>
      </c>
      <c r="C1065" s="2" t="s">
        <v>71</v>
      </c>
      <c r="D1065" s="2" t="s">
        <v>18</v>
      </c>
      <c r="E1065" s="2" t="s">
        <v>42</v>
      </c>
      <c r="F1065" s="2" t="s">
        <v>32</v>
      </c>
      <c r="G1065" s="2" t="s">
        <v>81</v>
      </c>
      <c r="H1065" s="2">
        <v>100</v>
      </c>
      <c r="I1065" s="3">
        <v>13128</v>
      </c>
      <c r="J1065" s="3">
        <v>1312800</v>
      </c>
      <c r="K1065" s="2">
        <v>15</v>
      </c>
      <c r="L1065" s="3">
        <v>1115880</v>
      </c>
      <c r="M1065" s="3">
        <v>679808.39</v>
      </c>
      <c r="N1065" s="3">
        <v>436071.61</v>
      </c>
      <c r="O1065" s="4">
        <v>39.08</v>
      </c>
      <c r="P1065" s="2" t="s">
        <v>61</v>
      </c>
    </row>
    <row r="1066" spans="1:16" x14ac:dyDescent="0.3">
      <c r="A1066" s="5">
        <v>2055</v>
      </c>
      <c r="B1066" s="5" t="s">
        <v>76</v>
      </c>
      <c r="C1066" s="5" t="s">
        <v>77</v>
      </c>
      <c r="D1066" s="5" t="s">
        <v>36</v>
      </c>
      <c r="E1066" s="5" t="s">
        <v>42</v>
      </c>
      <c r="F1066" s="5" t="s">
        <v>27</v>
      </c>
      <c r="G1066" s="5" t="s">
        <v>84</v>
      </c>
      <c r="H1066" s="5">
        <v>84</v>
      </c>
      <c r="I1066" s="6">
        <v>13606</v>
      </c>
      <c r="J1066" s="6">
        <v>1142904</v>
      </c>
      <c r="K1066" s="5">
        <v>5</v>
      </c>
      <c r="L1066" s="6">
        <v>1085758.8</v>
      </c>
      <c r="M1066" s="6">
        <v>715564.73</v>
      </c>
      <c r="N1066" s="6">
        <v>370194.07</v>
      </c>
      <c r="O1066" s="7">
        <v>34.1</v>
      </c>
      <c r="P1066" s="5" t="s">
        <v>50</v>
      </c>
    </row>
    <row r="1067" spans="1:16" x14ac:dyDescent="0.3">
      <c r="A1067" s="2">
        <v>1866</v>
      </c>
      <c r="B1067" s="2" t="s">
        <v>70</v>
      </c>
      <c r="C1067" s="2" t="s">
        <v>71</v>
      </c>
      <c r="D1067" s="2" t="s">
        <v>18</v>
      </c>
      <c r="E1067" s="2" t="s">
        <v>42</v>
      </c>
      <c r="F1067" s="2" t="s">
        <v>20</v>
      </c>
      <c r="G1067" s="2" t="s">
        <v>64</v>
      </c>
      <c r="H1067" s="2">
        <v>81</v>
      </c>
      <c r="I1067" s="3">
        <v>214</v>
      </c>
      <c r="J1067" s="3">
        <v>17334</v>
      </c>
      <c r="K1067" s="2">
        <v>0</v>
      </c>
      <c r="L1067" s="3">
        <v>17334</v>
      </c>
      <c r="M1067" s="3">
        <v>9888.94</v>
      </c>
      <c r="N1067" s="3">
        <v>7445.06</v>
      </c>
      <c r="O1067" s="4">
        <v>42.95</v>
      </c>
      <c r="P1067" s="2" t="s">
        <v>29</v>
      </c>
    </row>
    <row r="1068" spans="1:16" x14ac:dyDescent="0.3">
      <c r="A1068" s="5">
        <v>1944</v>
      </c>
      <c r="B1068" s="5" t="s">
        <v>34</v>
      </c>
      <c r="C1068" s="5" t="s">
        <v>35</v>
      </c>
      <c r="D1068" s="5" t="s">
        <v>36</v>
      </c>
      <c r="E1068" s="5" t="s">
        <v>19</v>
      </c>
      <c r="F1068" s="5" t="s">
        <v>20</v>
      </c>
      <c r="G1068" s="5" t="s">
        <v>68</v>
      </c>
      <c r="H1068" s="5">
        <v>57</v>
      </c>
      <c r="I1068" s="6">
        <v>164</v>
      </c>
      <c r="J1068" s="6">
        <v>9348</v>
      </c>
      <c r="K1068" s="5">
        <v>5</v>
      </c>
      <c r="L1068" s="6">
        <v>8880.6</v>
      </c>
      <c r="M1068" s="6">
        <v>5965.84</v>
      </c>
      <c r="N1068" s="6">
        <v>2914.76</v>
      </c>
      <c r="O1068" s="7">
        <v>32.82</v>
      </c>
      <c r="P1068" s="5" t="s">
        <v>50</v>
      </c>
    </row>
    <row r="1069" spans="1:16" x14ac:dyDescent="0.3">
      <c r="A1069" s="2">
        <v>1077</v>
      </c>
      <c r="B1069" s="2" t="s">
        <v>62</v>
      </c>
      <c r="C1069" s="2" t="s">
        <v>63</v>
      </c>
      <c r="D1069" s="2" t="s">
        <v>25</v>
      </c>
      <c r="E1069" s="2" t="s">
        <v>44</v>
      </c>
      <c r="F1069" s="2" t="s">
        <v>27</v>
      </c>
      <c r="G1069" s="2" t="s">
        <v>28</v>
      </c>
      <c r="H1069" s="2">
        <v>57</v>
      </c>
      <c r="I1069" s="3">
        <v>7673</v>
      </c>
      <c r="J1069" s="3">
        <v>437361</v>
      </c>
      <c r="K1069" s="2">
        <v>0</v>
      </c>
      <c r="L1069" s="3">
        <v>437361</v>
      </c>
      <c r="M1069" s="3">
        <v>253134.06</v>
      </c>
      <c r="N1069" s="3">
        <v>184226.94</v>
      </c>
      <c r="O1069" s="4">
        <v>42.12</v>
      </c>
      <c r="P1069" s="2" t="s">
        <v>22</v>
      </c>
    </row>
    <row r="1070" spans="1:16" x14ac:dyDescent="0.3">
      <c r="A1070" s="5">
        <v>1668</v>
      </c>
      <c r="B1070" s="5" t="s">
        <v>16</v>
      </c>
      <c r="C1070" s="5" t="s">
        <v>17</v>
      </c>
      <c r="D1070" s="5" t="s">
        <v>18</v>
      </c>
      <c r="E1070" s="5" t="s">
        <v>42</v>
      </c>
      <c r="F1070" s="5" t="s">
        <v>20</v>
      </c>
      <c r="G1070" s="5" t="s">
        <v>21</v>
      </c>
      <c r="H1070" s="5">
        <v>31</v>
      </c>
      <c r="I1070" s="6">
        <v>111</v>
      </c>
      <c r="J1070" s="6">
        <v>3441</v>
      </c>
      <c r="K1070" s="5">
        <v>20</v>
      </c>
      <c r="L1070" s="6">
        <v>2752.8</v>
      </c>
      <c r="M1070" s="6">
        <v>1671.05</v>
      </c>
      <c r="N1070" s="6">
        <v>1081.75</v>
      </c>
      <c r="O1070" s="7">
        <v>39.299999999999997</v>
      </c>
      <c r="P1070" s="5" t="s">
        <v>50</v>
      </c>
    </row>
    <row r="1071" spans="1:16" x14ac:dyDescent="0.3">
      <c r="A1071" s="2">
        <v>2103</v>
      </c>
      <c r="B1071" s="2" t="s">
        <v>46</v>
      </c>
      <c r="C1071" s="2" t="s">
        <v>47</v>
      </c>
      <c r="D1071" s="2" t="s">
        <v>36</v>
      </c>
      <c r="E1071" s="2" t="s">
        <v>26</v>
      </c>
      <c r="F1071" s="2" t="s">
        <v>27</v>
      </c>
      <c r="G1071" s="2" t="s">
        <v>83</v>
      </c>
      <c r="H1071" s="2">
        <v>124</v>
      </c>
      <c r="I1071" s="3">
        <v>5312</v>
      </c>
      <c r="J1071" s="3">
        <v>658688</v>
      </c>
      <c r="K1071" s="2">
        <v>15</v>
      </c>
      <c r="L1071" s="3">
        <v>559884.80000000005</v>
      </c>
      <c r="M1071" s="3">
        <v>335166.77</v>
      </c>
      <c r="N1071" s="3">
        <v>224718.03</v>
      </c>
      <c r="O1071" s="4">
        <v>40.14</v>
      </c>
      <c r="P1071" s="2" t="s">
        <v>61</v>
      </c>
    </row>
    <row r="1072" spans="1:16" x14ac:dyDescent="0.3">
      <c r="A1072" s="5">
        <v>1041</v>
      </c>
      <c r="B1072" s="5" t="s">
        <v>62</v>
      </c>
      <c r="C1072" s="5" t="s">
        <v>63</v>
      </c>
      <c r="D1072" s="5" t="s">
        <v>25</v>
      </c>
      <c r="E1072" s="5" t="s">
        <v>19</v>
      </c>
      <c r="F1072" s="5" t="s">
        <v>20</v>
      </c>
      <c r="G1072" s="5" t="s">
        <v>64</v>
      </c>
      <c r="H1072" s="5">
        <v>110</v>
      </c>
      <c r="I1072" s="6">
        <v>217</v>
      </c>
      <c r="J1072" s="6">
        <v>23870</v>
      </c>
      <c r="K1072" s="5">
        <v>5</v>
      </c>
      <c r="L1072" s="6">
        <v>22676.5</v>
      </c>
      <c r="M1072" s="6">
        <v>13037.78</v>
      </c>
      <c r="N1072" s="6">
        <v>9638.7199999999993</v>
      </c>
      <c r="O1072" s="7">
        <v>42.51</v>
      </c>
      <c r="P1072" s="5" t="s">
        <v>39</v>
      </c>
    </row>
    <row r="1073" spans="1:16" x14ac:dyDescent="0.3">
      <c r="A1073" s="2">
        <v>1348</v>
      </c>
      <c r="B1073" s="2" t="s">
        <v>57</v>
      </c>
      <c r="C1073" s="2" t="s">
        <v>58</v>
      </c>
      <c r="D1073" s="2" t="s">
        <v>56</v>
      </c>
      <c r="E1073" s="2" t="s">
        <v>19</v>
      </c>
      <c r="F1073" s="2" t="s">
        <v>48</v>
      </c>
      <c r="G1073" s="2" t="s">
        <v>49</v>
      </c>
      <c r="H1073" s="2">
        <v>126</v>
      </c>
      <c r="I1073" s="3">
        <v>838</v>
      </c>
      <c r="J1073" s="3">
        <v>105588</v>
      </c>
      <c r="K1073" s="2">
        <v>0</v>
      </c>
      <c r="L1073" s="3">
        <v>105588</v>
      </c>
      <c r="M1073" s="3">
        <v>69251.61</v>
      </c>
      <c r="N1073" s="3">
        <v>36336.39</v>
      </c>
      <c r="O1073" s="4">
        <v>34.409999999999997</v>
      </c>
      <c r="P1073" s="2" t="s">
        <v>45</v>
      </c>
    </row>
    <row r="1074" spans="1:16" x14ac:dyDescent="0.3">
      <c r="A1074" s="5">
        <v>1692</v>
      </c>
      <c r="B1074" s="5" t="s">
        <v>16</v>
      </c>
      <c r="C1074" s="5" t="s">
        <v>17</v>
      </c>
      <c r="D1074" s="5" t="s">
        <v>18</v>
      </c>
      <c r="E1074" s="5" t="s">
        <v>44</v>
      </c>
      <c r="F1074" s="5" t="s">
        <v>20</v>
      </c>
      <c r="G1074" s="5" t="s">
        <v>80</v>
      </c>
      <c r="H1074" s="5">
        <v>34</v>
      </c>
      <c r="I1074" s="6">
        <v>80</v>
      </c>
      <c r="J1074" s="6">
        <v>2720</v>
      </c>
      <c r="K1074" s="5">
        <v>5</v>
      </c>
      <c r="L1074" s="6">
        <v>2584</v>
      </c>
      <c r="M1074" s="6">
        <v>1549.45</v>
      </c>
      <c r="N1074" s="6">
        <v>1034.55</v>
      </c>
      <c r="O1074" s="7">
        <v>40.04</v>
      </c>
      <c r="P1074" s="5" t="s">
        <v>50</v>
      </c>
    </row>
    <row r="1075" spans="1:16" x14ac:dyDescent="0.3">
      <c r="A1075" s="2">
        <v>1235</v>
      </c>
      <c r="B1075" s="2" t="s">
        <v>52</v>
      </c>
      <c r="C1075" s="2" t="s">
        <v>53</v>
      </c>
      <c r="D1075" s="2" t="s">
        <v>25</v>
      </c>
      <c r="E1075" s="2" t="s">
        <v>19</v>
      </c>
      <c r="F1075" s="2" t="s">
        <v>37</v>
      </c>
      <c r="G1075" s="2" t="s">
        <v>67</v>
      </c>
      <c r="H1075" s="2">
        <v>25</v>
      </c>
      <c r="I1075" s="3">
        <v>1930</v>
      </c>
      <c r="J1075" s="3">
        <v>48250</v>
      </c>
      <c r="K1075" s="2">
        <v>0</v>
      </c>
      <c r="L1075" s="3">
        <v>48250</v>
      </c>
      <c r="M1075" s="3">
        <v>29694.639999999999</v>
      </c>
      <c r="N1075" s="3">
        <v>18555.36</v>
      </c>
      <c r="O1075" s="4">
        <v>38.46</v>
      </c>
      <c r="P1075" s="2" t="s">
        <v>39</v>
      </c>
    </row>
    <row r="1076" spans="1:16" x14ac:dyDescent="0.3">
      <c r="A1076" s="5">
        <v>1625</v>
      </c>
      <c r="B1076" s="5" t="s">
        <v>16</v>
      </c>
      <c r="C1076" s="5" t="s">
        <v>17</v>
      </c>
      <c r="D1076" s="5" t="s">
        <v>18</v>
      </c>
      <c r="E1076" s="5" t="s">
        <v>26</v>
      </c>
      <c r="F1076" s="5" t="s">
        <v>48</v>
      </c>
      <c r="G1076" s="5" t="s">
        <v>72</v>
      </c>
      <c r="H1076" s="5">
        <v>152</v>
      </c>
      <c r="I1076" s="6">
        <v>3375</v>
      </c>
      <c r="J1076" s="6">
        <v>513000</v>
      </c>
      <c r="K1076" s="5">
        <v>15</v>
      </c>
      <c r="L1076" s="6">
        <v>436050</v>
      </c>
      <c r="M1076" s="6">
        <v>279397.67</v>
      </c>
      <c r="N1076" s="6">
        <v>156652.32999999999</v>
      </c>
      <c r="O1076" s="7">
        <v>35.93</v>
      </c>
      <c r="P1076" s="5" t="s">
        <v>29</v>
      </c>
    </row>
    <row r="1077" spans="1:16" x14ac:dyDescent="0.3">
      <c r="A1077" s="2">
        <v>1135</v>
      </c>
      <c r="B1077" s="2" t="s">
        <v>23</v>
      </c>
      <c r="C1077" s="2" t="s">
        <v>24</v>
      </c>
      <c r="D1077" s="2" t="s">
        <v>25</v>
      </c>
      <c r="E1077" s="2" t="s">
        <v>19</v>
      </c>
      <c r="F1077" s="2" t="s">
        <v>37</v>
      </c>
      <c r="G1077" s="2" t="s">
        <v>67</v>
      </c>
      <c r="H1077" s="2">
        <v>81</v>
      </c>
      <c r="I1077" s="3">
        <v>1715</v>
      </c>
      <c r="J1077" s="3">
        <v>138915</v>
      </c>
      <c r="K1077" s="2">
        <v>0</v>
      </c>
      <c r="L1077" s="3">
        <v>138915</v>
      </c>
      <c r="M1077" s="3">
        <v>79675.89</v>
      </c>
      <c r="N1077" s="3">
        <v>59239.11</v>
      </c>
      <c r="O1077" s="4">
        <v>42.64</v>
      </c>
      <c r="P1077" s="2" t="s">
        <v>61</v>
      </c>
    </row>
    <row r="1078" spans="1:16" x14ac:dyDescent="0.3">
      <c r="A1078" s="5">
        <v>1174</v>
      </c>
      <c r="B1078" s="5" t="s">
        <v>23</v>
      </c>
      <c r="C1078" s="5" t="s">
        <v>24</v>
      </c>
      <c r="D1078" s="5" t="s">
        <v>25</v>
      </c>
      <c r="E1078" s="5" t="s">
        <v>42</v>
      </c>
      <c r="F1078" s="5" t="s">
        <v>48</v>
      </c>
      <c r="G1078" s="5" t="s">
        <v>51</v>
      </c>
      <c r="H1078" s="5">
        <v>75</v>
      </c>
      <c r="I1078" s="6">
        <v>2033</v>
      </c>
      <c r="J1078" s="6">
        <v>152475</v>
      </c>
      <c r="K1078" s="5">
        <v>5</v>
      </c>
      <c r="L1078" s="6">
        <v>144851.25</v>
      </c>
      <c r="M1078" s="6">
        <v>89687.91</v>
      </c>
      <c r="N1078" s="6">
        <v>55163.34</v>
      </c>
      <c r="O1078" s="7">
        <v>38.08</v>
      </c>
      <c r="P1078" s="5" t="s">
        <v>50</v>
      </c>
    </row>
    <row r="1079" spans="1:16" x14ac:dyDescent="0.3">
      <c r="A1079" s="2">
        <v>2153</v>
      </c>
      <c r="B1079" s="2" t="s">
        <v>46</v>
      </c>
      <c r="C1079" s="2" t="s">
        <v>47</v>
      </c>
      <c r="D1079" s="2" t="s">
        <v>36</v>
      </c>
      <c r="E1079" s="2" t="s">
        <v>42</v>
      </c>
      <c r="F1079" s="2" t="s">
        <v>27</v>
      </c>
      <c r="G1079" s="2" t="s">
        <v>83</v>
      </c>
      <c r="H1079" s="2">
        <v>36</v>
      </c>
      <c r="I1079" s="3">
        <v>5302</v>
      </c>
      <c r="J1079" s="3">
        <v>190872</v>
      </c>
      <c r="K1079" s="2">
        <v>10</v>
      </c>
      <c r="L1079" s="3">
        <v>171784.8</v>
      </c>
      <c r="M1079" s="3">
        <v>105090</v>
      </c>
      <c r="N1079" s="3">
        <v>66694.8</v>
      </c>
      <c r="O1079" s="4">
        <v>38.82</v>
      </c>
      <c r="P1079" s="2" t="s">
        <v>41</v>
      </c>
    </row>
    <row r="1080" spans="1:16" x14ac:dyDescent="0.3">
      <c r="A1080" s="5">
        <v>1481</v>
      </c>
      <c r="B1080" s="5" t="s">
        <v>54</v>
      </c>
      <c r="C1080" s="5" t="s">
        <v>55</v>
      </c>
      <c r="D1080" s="5" t="s">
        <v>56</v>
      </c>
      <c r="E1080" s="5" t="s">
        <v>44</v>
      </c>
      <c r="F1080" s="5" t="s">
        <v>37</v>
      </c>
      <c r="G1080" s="5" t="s">
        <v>59</v>
      </c>
      <c r="H1080" s="5">
        <v>105</v>
      </c>
      <c r="I1080" s="6">
        <v>537</v>
      </c>
      <c r="J1080" s="6">
        <v>56385</v>
      </c>
      <c r="K1080" s="5">
        <v>0</v>
      </c>
      <c r="L1080" s="6">
        <v>56385</v>
      </c>
      <c r="M1080" s="6">
        <v>35110.449999999997</v>
      </c>
      <c r="N1080" s="6">
        <v>21274.55</v>
      </c>
      <c r="O1080" s="7">
        <v>37.729999999999997</v>
      </c>
      <c r="P1080" s="5" t="s">
        <v>45</v>
      </c>
    </row>
    <row r="1081" spans="1:16" x14ac:dyDescent="0.3">
      <c r="A1081" s="2">
        <v>1508</v>
      </c>
      <c r="B1081" s="2" t="s">
        <v>73</v>
      </c>
      <c r="C1081" s="2" t="s">
        <v>74</v>
      </c>
      <c r="D1081" s="2" t="s">
        <v>56</v>
      </c>
      <c r="E1081" s="2" t="s">
        <v>26</v>
      </c>
      <c r="F1081" s="2" t="s">
        <v>37</v>
      </c>
      <c r="G1081" s="2" t="s">
        <v>38</v>
      </c>
      <c r="H1081" s="2">
        <v>24</v>
      </c>
      <c r="I1081" s="3">
        <v>1991</v>
      </c>
      <c r="J1081" s="3">
        <v>47784</v>
      </c>
      <c r="K1081" s="2">
        <v>0</v>
      </c>
      <c r="L1081" s="3">
        <v>47784</v>
      </c>
      <c r="M1081" s="3">
        <v>30536.46</v>
      </c>
      <c r="N1081" s="3">
        <v>17247.54</v>
      </c>
      <c r="O1081" s="4">
        <v>36.090000000000003</v>
      </c>
      <c r="P1081" s="2" t="s">
        <v>39</v>
      </c>
    </row>
    <row r="1082" spans="1:16" x14ac:dyDescent="0.3">
      <c r="A1082" s="5">
        <v>1501</v>
      </c>
      <c r="B1082" s="5" t="s">
        <v>73</v>
      </c>
      <c r="C1082" s="5" t="s">
        <v>74</v>
      </c>
      <c r="D1082" s="5" t="s">
        <v>56</v>
      </c>
      <c r="E1082" s="5" t="s">
        <v>26</v>
      </c>
      <c r="F1082" s="5" t="s">
        <v>27</v>
      </c>
      <c r="G1082" s="5" t="s">
        <v>85</v>
      </c>
      <c r="H1082" s="5">
        <v>176</v>
      </c>
      <c r="I1082" s="6">
        <v>12780</v>
      </c>
      <c r="J1082" s="6">
        <v>2249280</v>
      </c>
      <c r="K1082" s="5">
        <v>20</v>
      </c>
      <c r="L1082" s="6">
        <v>1799424</v>
      </c>
      <c r="M1082" s="6">
        <v>1062164.94</v>
      </c>
      <c r="N1082" s="6">
        <v>737259.06</v>
      </c>
      <c r="O1082" s="7">
        <v>40.97</v>
      </c>
      <c r="P1082" s="5" t="s">
        <v>50</v>
      </c>
    </row>
    <row r="1083" spans="1:16" x14ac:dyDescent="0.3">
      <c r="A1083" s="2">
        <v>1116</v>
      </c>
      <c r="B1083" s="2" t="s">
        <v>23</v>
      </c>
      <c r="C1083" s="2" t="s">
        <v>24</v>
      </c>
      <c r="D1083" s="2" t="s">
        <v>25</v>
      </c>
      <c r="E1083" s="2" t="s">
        <v>26</v>
      </c>
      <c r="F1083" s="2" t="s">
        <v>20</v>
      </c>
      <c r="G1083" s="2" t="s">
        <v>64</v>
      </c>
      <c r="H1083" s="2">
        <v>48</v>
      </c>
      <c r="I1083" s="3">
        <v>199</v>
      </c>
      <c r="J1083" s="3">
        <v>9552</v>
      </c>
      <c r="K1083" s="2">
        <v>15</v>
      </c>
      <c r="L1083" s="3">
        <v>8119.2</v>
      </c>
      <c r="M1083" s="3">
        <v>4875.25</v>
      </c>
      <c r="N1083" s="3">
        <v>3243.95</v>
      </c>
      <c r="O1083" s="4">
        <v>39.950000000000003</v>
      </c>
      <c r="P1083" s="2" t="s">
        <v>39</v>
      </c>
    </row>
    <row r="1084" spans="1:16" x14ac:dyDescent="0.3">
      <c r="A1084" s="2">
        <v>1844</v>
      </c>
      <c r="B1084" s="2" t="s">
        <v>70</v>
      </c>
      <c r="C1084" s="2" t="s">
        <v>71</v>
      </c>
      <c r="D1084" s="2" t="s">
        <v>18</v>
      </c>
      <c r="E1084" s="2" t="s">
        <v>19</v>
      </c>
      <c r="F1084" s="2" t="s">
        <v>20</v>
      </c>
      <c r="G1084" s="2" t="s">
        <v>68</v>
      </c>
      <c r="H1084" s="2">
        <v>132</v>
      </c>
      <c r="I1084" s="3">
        <v>154</v>
      </c>
      <c r="J1084" s="3">
        <v>20328</v>
      </c>
      <c r="K1084" s="2">
        <v>10</v>
      </c>
      <c r="L1084" s="3">
        <v>18295.2</v>
      </c>
      <c r="M1084" s="3">
        <v>11219.94</v>
      </c>
      <c r="N1084" s="3">
        <v>7075.26</v>
      </c>
      <c r="O1084" s="4">
        <v>38.67</v>
      </c>
      <c r="P1084" s="2" t="s">
        <v>22</v>
      </c>
    </row>
    <row r="1085" spans="1:16" x14ac:dyDescent="0.3">
      <c r="A1085" s="5">
        <v>1732</v>
      </c>
      <c r="B1085" s="5" t="s">
        <v>30</v>
      </c>
      <c r="C1085" s="5" t="s">
        <v>31</v>
      </c>
      <c r="D1085" s="5" t="s">
        <v>18</v>
      </c>
      <c r="E1085" s="5" t="s">
        <v>19</v>
      </c>
      <c r="F1085" s="5" t="s">
        <v>37</v>
      </c>
      <c r="G1085" s="5" t="s">
        <v>79</v>
      </c>
      <c r="H1085" s="5">
        <v>149</v>
      </c>
      <c r="I1085" s="6">
        <v>1228</v>
      </c>
      <c r="J1085" s="6">
        <v>182972</v>
      </c>
      <c r="K1085" s="5">
        <v>20</v>
      </c>
      <c r="L1085" s="6">
        <v>146377.60000000001</v>
      </c>
      <c r="M1085" s="6">
        <v>102390.35</v>
      </c>
      <c r="N1085" s="6">
        <v>43987.25</v>
      </c>
      <c r="O1085" s="7">
        <v>30.05</v>
      </c>
      <c r="P1085" s="5" t="s">
        <v>43</v>
      </c>
    </row>
    <row r="1086" spans="1:16" x14ac:dyDescent="0.3">
      <c r="A1086" s="2">
        <v>1707</v>
      </c>
      <c r="B1086" s="2" t="s">
        <v>30</v>
      </c>
      <c r="C1086" s="2" t="s">
        <v>31</v>
      </c>
      <c r="D1086" s="2" t="s">
        <v>18</v>
      </c>
      <c r="E1086" s="2" t="s">
        <v>26</v>
      </c>
      <c r="F1086" s="2" t="s">
        <v>37</v>
      </c>
      <c r="G1086" s="2" t="s">
        <v>79</v>
      </c>
      <c r="H1086" s="2">
        <v>169</v>
      </c>
      <c r="I1086" s="3">
        <v>1267</v>
      </c>
      <c r="J1086" s="3">
        <v>214123</v>
      </c>
      <c r="K1086" s="2">
        <v>0</v>
      </c>
      <c r="L1086" s="3">
        <v>214123</v>
      </c>
      <c r="M1086" s="3">
        <v>139987.76</v>
      </c>
      <c r="N1086" s="3">
        <v>74135.240000000005</v>
      </c>
      <c r="O1086" s="4">
        <v>34.619999999999997</v>
      </c>
      <c r="P1086" s="2" t="s">
        <v>61</v>
      </c>
    </row>
    <row r="1087" spans="1:16" x14ac:dyDescent="0.3">
      <c r="A1087" s="5">
        <v>1877</v>
      </c>
      <c r="B1087" s="5" t="s">
        <v>70</v>
      </c>
      <c r="C1087" s="5" t="s">
        <v>71</v>
      </c>
      <c r="D1087" s="5" t="s">
        <v>18</v>
      </c>
      <c r="E1087" s="5" t="s">
        <v>44</v>
      </c>
      <c r="F1087" s="5" t="s">
        <v>27</v>
      </c>
      <c r="G1087" s="5" t="s">
        <v>28</v>
      </c>
      <c r="H1087" s="5">
        <v>92</v>
      </c>
      <c r="I1087" s="6">
        <v>8771</v>
      </c>
      <c r="J1087" s="6">
        <v>806932</v>
      </c>
      <c r="K1087" s="5">
        <v>20</v>
      </c>
      <c r="L1087" s="6">
        <v>645545.6</v>
      </c>
      <c r="M1087" s="6">
        <v>392729.57</v>
      </c>
      <c r="N1087" s="6">
        <v>252816.03</v>
      </c>
      <c r="O1087" s="7">
        <v>39.159999999999997</v>
      </c>
      <c r="P1087" s="5" t="s">
        <v>50</v>
      </c>
    </row>
    <row r="1088" spans="1:16" x14ac:dyDescent="0.3">
      <c r="A1088" s="2">
        <v>1200</v>
      </c>
      <c r="B1088" s="2" t="s">
        <v>23</v>
      </c>
      <c r="C1088" s="2" t="s">
        <v>24</v>
      </c>
      <c r="D1088" s="2" t="s">
        <v>25</v>
      </c>
      <c r="E1088" s="2" t="s">
        <v>44</v>
      </c>
      <c r="F1088" s="2" t="s">
        <v>48</v>
      </c>
      <c r="G1088" s="2" t="s">
        <v>72</v>
      </c>
      <c r="H1088" s="2">
        <v>27</v>
      </c>
      <c r="I1088" s="3">
        <v>3298</v>
      </c>
      <c r="J1088" s="3">
        <v>89046</v>
      </c>
      <c r="K1088" s="2">
        <v>0</v>
      </c>
      <c r="L1088" s="3">
        <v>89046</v>
      </c>
      <c r="M1088" s="3">
        <v>49650.87</v>
      </c>
      <c r="N1088" s="3">
        <v>39395.129999999997</v>
      </c>
      <c r="O1088" s="4">
        <v>44.24</v>
      </c>
      <c r="P1088" s="2" t="s">
        <v>41</v>
      </c>
    </row>
    <row r="1089" spans="1:16" x14ac:dyDescent="0.3">
      <c r="A1089" s="5">
        <v>1780</v>
      </c>
      <c r="B1089" s="5" t="s">
        <v>30</v>
      </c>
      <c r="C1089" s="5" t="s">
        <v>31</v>
      </c>
      <c r="D1089" s="5" t="s">
        <v>18</v>
      </c>
      <c r="E1089" s="5" t="s">
        <v>44</v>
      </c>
      <c r="F1089" s="5" t="s">
        <v>27</v>
      </c>
      <c r="G1089" s="5" t="s">
        <v>84</v>
      </c>
      <c r="H1089" s="5">
        <v>40</v>
      </c>
      <c r="I1089" s="6">
        <v>15277</v>
      </c>
      <c r="J1089" s="6">
        <v>611080</v>
      </c>
      <c r="K1089" s="5">
        <v>0</v>
      </c>
      <c r="L1089" s="6">
        <v>611080</v>
      </c>
      <c r="M1089" s="6">
        <v>393798.93</v>
      </c>
      <c r="N1089" s="6">
        <v>217281.07</v>
      </c>
      <c r="O1089" s="7">
        <v>35.56</v>
      </c>
      <c r="P1089" s="5" t="s">
        <v>43</v>
      </c>
    </row>
    <row r="1090" spans="1:16" x14ac:dyDescent="0.3">
      <c r="A1090" s="2">
        <v>1699</v>
      </c>
      <c r="B1090" s="2" t="s">
        <v>16</v>
      </c>
      <c r="C1090" s="2" t="s">
        <v>17</v>
      </c>
      <c r="D1090" s="2" t="s">
        <v>18</v>
      </c>
      <c r="E1090" s="2" t="s">
        <v>44</v>
      </c>
      <c r="F1090" s="2" t="s">
        <v>48</v>
      </c>
      <c r="G1090" s="2" t="s">
        <v>51</v>
      </c>
      <c r="H1090" s="2">
        <v>130</v>
      </c>
      <c r="I1090" s="3">
        <v>1945</v>
      </c>
      <c r="J1090" s="3">
        <v>252850</v>
      </c>
      <c r="K1090" s="2">
        <v>20</v>
      </c>
      <c r="L1090" s="3">
        <v>202280</v>
      </c>
      <c r="M1090" s="3">
        <v>114713.7</v>
      </c>
      <c r="N1090" s="3">
        <v>87566.3</v>
      </c>
      <c r="O1090" s="4">
        <v>43.29</v>
      </c>
      <c r="P1090" s="2" t="s">
        <v>45</v>
      </c>
    </row>
    <row r="1091" spans="1:16" x14ac:dyDescent="0.3">
      <c r="A1091" s="5">
        <v>1056</v>
      </c>
      <c r="B1091" s="5" t="s">
        <v>62</v>
      </c>
      <c r="C1091" s="5" t="s">
        <v>63</v>
      </c>
      <c r="D1091" s="5" t="s">
        <v>25</v>
      </c>
      <c r="E1091" s="5" t="s">
        <v>42</v>
      </c>
      <c r="F1091" s="5" t="s">
        <v>37</v>
      </c>
      <c r="G1091" s="5" t="s">
        <v>59</v>
      </c>
      <c r="H1091" s="5">
        <v>95</v>
      </c>
      <c r="I1091" s="6">
        <v>470</v>
      </c>
      <c r="J1091" s="6">
        <v>44650</v>
      </c>
      <c r="K1091" s="5">
        <v>5</v>
      </c>
      <c r="L1091" s="6">
        <v>42417.5</v>
      </c>
      <c r="M1091" s="6">
        <v>26545.35</v>
      </c>
      <c r="N1091" s="6">
        <v>15872.15</v>
      </c>
      <c r="O1091" s="7">
        <v>37.42</v>
      </c>
      <c r="P1091" s="5" t="s">
        <v>50</v>
      </c>
    </row>
    <row r="1092" spans="1:16" x14ac:dyDescent="0.3">
      <c r="A1092" s="2">
        <v>1715</v>
      </c>
      <c r="B1092" s="2" t="s">
        <v>30</v>
      </c>
      <c r="C1092" s="2" t="s">
        <v>31</v>
      </c>
      <c r="D1092" s="2" t="s">
        <v>18</v>
      </c>
      <c r="E1092" s="2" t="s">
        <v>26</v>
      </c>
      <c r="F1092" s="2" t="s">
        <v>32</v>
      </c>
      <c r="G1092" s="2" t="s">
        <v>65</v>
      </c>
      <c r="H1092" s="2">
        <v>130</v>
      </c>
      <c r="I1092" s="3">
        <v>5394</v>
      </c>
      <c r="J1092" s="3">
        <v>701220</v>
      </c>
      <c r="K1092" s="2">
        <v>5</v>
      </c>
      <c r="L1092" s="3">
        <v>666159</v>
      </c>
      <c r="M1092" s="3">
        <v>454068.35</v>
      </c>
      <c r="N1092" s="3">
        <v>212090.65</v>
      </c>
      <c r="O1092" s="4">
        <v>31.84</v>
      </c>
      <c r="P1092" s="2" t="s">
        <v>22</v>
      </c>
    </row>
    <row r="1093" spans="1:16" x14ac:dyDescent="0.3">
      <c r="A1093" s="5">
        <v>1751</v>
      </c>
      <c r="B1093" s="5" t="s">
        <v>30</v>
      </c>
      <c r="C1093" s="5" t="s">
        <v>31</v>
      </c>
      <c r="D1093" s="5" t="s">
        <v>18</v>
      </c>
      <c r="E1093" s="5" t="s">
        <v>42</v>
      </c>
      <c r="F1093" s="5" t="s">
        <v>27</v>
      </c>
      <c r="G1093" s="5" t="s">
        <v>85</v>
      </c>
      <c r="H1093" s="5">
        <v>54</v>
      </c>
      <c r="I1093" s="6">
        <v>12974</v>
      </c>
      <c r="J1093" s="6">
        <v>700596</v>
      </c>
      <c r="K1093" s="5">
        <v>0</v>
      </c>
      <c r="L1093" s="6">
        <v>700596</v>
      </c>
      <c r="M1093" s="6">
        <v>402242.4</v>
      </c>
      <c r="N1093" s="6">
        <v>298353.59999999998</v>
      </c>
      <c r="O1093" s="7">
        <v>42.59</v>
      </c>
      <c r="P1093" s="5" t="s">
        <v>45</v>
      </c>
    </row>
    <row r="1094" spans="1:16" x14ac:dyDescent="0.3">
      <c r="A1094" s="2">
        <v>1263</v>
      </c>
      <c r="B1094" s="2" t="s">
        <v>52</v>
      </c>
      <c r="C1094" s="2" t="s">
        <v>53</v>
      </c>
      <c r="D1094" s="2" t="s">
        <v>25</v>
      </c>
      <c r="E1094" s="2" t="s">
        <v>42</v>
      </c>
      <c r="F1094" s="2" t="s">
        <v>32</v>
      </c>
      <c r="G1094" s="2" t="s">
        <v>81</v>
      </c>
      <c r="H1094" s="2">
        <v>38</v>
      </c>
      <c r="I1094" s="3">
        <v>14928</v>
      </c>
      <c r="J1094" s="3">
        <v>567264</v>
      </c>
      <c r="K1094" s="2">
        <v>0</v>
      </c>
      <c r="L1094" s="3">
        <v>567264</v>
      </c>
      <c r="M1094" s="3">
        <v>373360.37</v>
      </c>
      <c r="N1094" s="3">
        <v>193903.63</v>
      </c>
      <c r="O1094" s="4">
        <v>34.18</v>
      </c>
      <c r="P1094" s="2" t="s">
        <v>43</v>
      </c>
    </row>
    <row r="1095" spans="1:16" x14ac:dyDescent="0.3">
      <c r="A1095" s="5">
        <v>1093</v>
      </c>
      <c r="B1095" s="5" t="s">
        <v>62</v>
      </c>
      <c r="C1095" s="5" t="s">
        <v>63</v>
      </c>
      <c r="D1095" s="5" t="s">
        <v>25</v>
      </c>
      <c r="E1095" s="5" t="s">
        <v>44</v>
      </c>
      <c r="F1095" s="5" t="s">
        <v>20</v>
      </c>
      <c r="G1095" s="5" t="s">
        <v>21</v>
      </c>
      <c r="H1095" s="5">
        <v>89</v>
      </c>
      <c r="I1095" s="6">
        <v>110</v>
      </c>
      <c r="J1095" s="6">
        <v>9790</v>
      </c>
      <c r="K1095" s="5">
        <v>15</v>
      </c>
      <c r="L1095" s="6">
        <v>8321.5</v>
      </c>
      <c r="M1095" s="6">
        <v>4989.84</v>
      </c>
      <c r="N1095" s="6">
        <v>3331.66</v>
      </c>
      <c r="O1095" s="7">
        <v>40.04</v>
      </c>
      <c r="P1095" s="5" t="s">
        <v>39</v>
      </c>
    </row>
    <row r="1096" spans="1:16" x14ac:dyDescent="0.3">
      <c r="A1096" s="2">
        <v>1058</v>
      </c>
      <c r="B1096" s="2" t="s">
        <v>62</v>
      </c>
      <c r="C1096" s="2" t="s">
        <v>63</v>
      </c>
      <c r="D1096" s="2" t="s">
        <v>25</v>
      </c>
      <c r="E1096" s="2" t="s">
        <v>42</v>
      </c>
      <c r="F1096" s="2" t="s">
        <v>37</v>
      </c>
      <c r="G1096" s="2" t="s">
        <v>38</v>
      </c>
      <c r="H1096" s="2">
        <v>21</v>
      </c>
      <c r="I1096" s="3">
        <v>1933</v>
      </c>
      <c r="J1096" s="3">
        <v>40593</v>
      </c>
      <c r="K1096" s="2">
        <v>0</v>
      </c>
      <c r="L1096" s="3">
        <v>40593</v>
      </c>
      <c r="M1096" s="3">
        <v>26205.5</v>
      </c>
      <c r="N1096" s="3">
        <v>14387.5</v>
      </c>
      <c r="O1096" s="4">
        <v>35.44</v>
      </c>
      <c r="P1096" s="2" t="s">
        <v>50</v>
      </c>
    </row>
    <row r="1097" spans="1:16" x14ac:dyDescent="0.3">
      <c r="A1097" s="5">
        <v>1126</v>
      </c>
      <c r="B1097" s="5" t="s">
        <v>23</v>
      </c>
      <c r="C1097" s="5" t="s">
        <v>24</v>
      </c>
      <c r="D1097" s="5" t="s">
        <v>25</v>
      </c>
      <c r="E1097" s="5" t="s">
        <v>19</v>
      </c>
      <c r="F1097" s="5" t="s">
        <v>27</v>
      </c>
      <c r="G1097" s="5" t="s">
        <v>85</v>
      </c>
      <c r="H1097" s="5">
        <v>47</v>
      </c>
      <c r="I1097" s="6">
        <v>11666</v>
      </c>
      <c r="J1097" s="6">
        <v>548302</v>
      </c>
      <c r="K1097" s="5">
        <v>5</v>
      </c>
      <c r="L1097" s="6">
        <v>520886.9</v>
      </c>
      <c r="M1097" s="6">
        <v>287593.25</v>
      </c>
      <c r="N1097" s="6">
        <v>233293.65</v>
      </c>
      <c r="O1097" s="7">
        <v>44.79</v>
      </c>
      <c r="P1097" s="5" t="s">
        <v>61</v>
      </c>
    </row>
    <row r="1098" spans="1:16" x14ac:dyDescent="0.3">
      <c r="A1098" s="2">
        <v>1657</v>
      </c>
      <c r="B1098" s="2" t="s">
        <v>16</v>
      </c>
      <c r="C1098" s="2" t="s">
        <v>17</v>
      </c>
      <c r="D1098" s="2" t="s">
        <v>18</v>
      </c>
      <c r="E1098" s="2" t="s">
        <v>42</v>
      </c>
      <c r="F1098" s="2" t="s">
        <v>37</v>
      </c>
      <c r="G1098" s="2" t="s">
        <v>79</v>
      </c>
      <c r="H1098" s="2">
        <v>101</v>
      </c>
      <c r="I1098" s="3">
        <v>1263</v>
      </c>
      <c r="J1098" s="3">
        <v>127563</v>
      </c>
      <c r="K1098" s="2">
        <v>0</v>
      </c>
      <c r="L1098" s="3">
        <v>127563</v>
      </c>
      <c r="M1098" s="3">
        <v>72635.759999999995</v>
      </c>
      <c r="N1098" s="3">
        <v>54927.24</v>
      </c>
      <c r="O1098" s="4">
        <v>43.06</v>
      </c>
      <c r="P1098" s="2" t="s">
        <v>22</v>
      </c>
    </row>
    <row r="1099" spans="1:16" x14ac:dyDescent="0.3">
      <c r="A1099" s="5">
        <v>1583</v>
      </c>
      <c r="B1099" s="5" t="s">
        <v>73</v>
      </c>
      <c r="C1099" s="5" t="s">
        <v>74</v>
      </c>
      <c r="D1099" s="5" t="s">
        <v>56</v>
      </c>
      <c r="E1099" s="5" t="s">
        <v>44</v>
      </c>
      <c r="F1099" s="5" t="s">
        <v>37</v>
      </c>
      <c r="G1099" s="5" t="s">
        <v>38</v>
      </c>
      <c r="H1099" s="5">
        <v>105</v>
      </c>
      <c r="I1099" s="6">
        <v>2167</v>
      </c>
      <c r="J1099" s="6">
        <v>227535</v>
      </c>
      <c r="K1099" s="5">
        <v>0</v>
      </c>
      <c r="L1099" s="6">
        <v>227535</v>
      </c>
      <c r="M1099" s="6">
        <v>154034.85</v>
      </c>
      <c r="N1099" s="6">
        <v>73500.149999999994</v>
      </c>
      <c r="O1099" s="7">
        <v>32.299999999999997</v>
      </c>
      <c r="P1099" s="5" t="s">
        <v>41</v>
      </c>
    </row>
    <row r="1100" spans="1:16" x14ac:dyDescent="0.3">
      <c r="A1100" s="2">
        <v>1723</v>
      </c>
      <c r="B1100" s="2" t="s">
        <v>30</v>
      </c>
      <c r="C1100" s="2" t="s">
        <v>31</v>
      </c>
      <c r="D1100" s="2" t="s">
        <v>18</v>
      </c>
      <c r="E1100" s="2" t="s">
        <v>26</v>
      </c>
      <c r="F1100" s="2" t="s">
        <v>48</v>
      </c>
      <c r="G1100" s="2" t="s">
        <v>49</v>
      </c>
      <c r="H1100" s="2">
        <v>142</v>
      </c>
      <c r="I1100" s="3">
        <v>807</v>
      </c>
      <c r="J1100" s="3">
        <v>114594</v>
      </c>
      <c r="K1100" s="2">
        <v>5</v>
      </c>
      <c r="L1100" s="3">
        <v>108864.3</v>
      </c>
      <c r="M1100" s="3">
        <v>72549.570000000007</v>
      </c>
      <c r="N1100" s="3">
        <v>36314.730000000003</v>
      </c>
      <c r="O1100" s="4">
        <v>33.36</v>
      </c>
      <c r="P1100" s="2" t="s">
        <v>45</v>
      </c>
    </row>
    <row r="1101" spans="1:16" x14ac:dyDescent="0.3">
      <c r="A1101" s="5">
        <v>1774</v>
      </c>
      <c r="B1101" s="5" t="s">
        <v>30</v>
      </c>
      <c r="C1101" s="5" t="s">
        <v>31</v>
      </c>
      <c r="D1101" s="5" t="s">
        <v>18</v>
      </c>
      <c r="E1101" s="5" t="s">
        <v>42</v>
      </c>
      <c r="F1101" s="5" t="s">
        <v>48</v>
      </c>
      <c r="G1101" s="5" t="s">
        <v>51</v>
      </c>
      <c r="H1101" s="5">
        <v>169</v>
      </c>
      <c r="I1101" s="6">
        <v>1889</v>
      </c>
      <c r="J1101" s="6">
        <v>319241</v>
      </c>
      <c r="K1101" s="5">
        <v>15</v>
      </c>
      <c r="L1101" s="6">
        <v>271354.84999999998</v>
      </c>
      <c r="M1101" s="6">
        <v>163609.26</v>
      </c>
      <c r="N1101" s="6">
        <v>107745.59</v>
      </c>
      <c r="O1101" s="7">
        <v>39.71</v>
      </c>
      <c r="P1101" s="5" t="s">
        <v>41</v>
      </c>
    </row>
    <row r="1102" spans="1:16" x14ac:dyDescent="0.3">
      <c r="A1102" s="2">
        <v>2014</v>
      </c>
      <c r="B1102" s="2" t="s">
        <v>76</v>
      </c>
      <c r="C1102" s="2" t="s">
        <v>77</v>
      </c>
      <c r="D1102" s="2" t="s">
        <v>36</v>
      </c>
      <c r="E1102" s="2" t="s">
        <v>26</v>
      </c>
      <c r="F1102" s="2" t="s">
        <v>32</v>
      </c>
      <c r="G1102" s="2" t="s">
        <v>33</v>
      </c>
      <c r="H1102" s="2">
        <v>85</v>
      </c>
      <c r="I1102" s="3">
        <v>9031</v>
      </c>
      <c r="J1102" s="3">
        <v>767635</v>
      </c>
      <c r="K1102" s="2">
        <v>0</v>
      </c>
      <c r="L1102" s="3">
        <v>767635</v>
      </c>
      <c r="M1102" s="3">
        <v>445985.65</v>
      </c>
      <c r="N1102" s="3">
        <v>321649.34999999998</v>
      </c>
      <c r="O1102" s="4">
        <v>41.9</v>
      </c>
      <c r="P1102" s="2" t="s">
        <v>41</v>
      </c>
    </row>
    <row r="1103" spans="1:16" x14ac:dyDescent="0.3">
      <c r="A1103" s="5">
        <v>1540</v>
      </c>
      <c r="B1103" s="5" t="s">
        <v>73</v>
      </c>
      <c r="C1103" s="5" t="s">
        <v>74</v>
      </c>
      <c r="D1103" s="5" t="s">
        <v>56</v>
      </c>
      <c r="E1103" s="5" t="s">
        <v>19</v>
      </c>
      <c r="F1103" s="5" t="s">
        <v>32</v>
      </c>
      <c r="G1103" s="5" t="s">
        <v>65</v>
      </c>
      <c r="H1103" s="5">
        <v>77</v>
      </c>
      <c r="I1103" s="6">
        <v>5220</v>
      </c>
      <c r="J1103" s="6">
        <v>401940</v>
      </c>
      <c r="K1103" s="5">
        <v>5</v>
      </c>
      <c r="L1103" s="6">
        <v>381843</v>
      </c>
      <c r="M1103" s="6">
        <v>257323.83</v>
      </c>
      <c r="N1103" s="6">
        <v>124519.17</v>
      </c>
      <c r="O1103" s="7">
        <v>32.61</v>
      </c>
      <c r="P1103" s="5" t="s">
        <v>41</v>
      </c>
    </row>
    <row r="1104" spans="1:16" x14ac:dyDescent="0.3">
      <c r="A1104" s="2">
        <v>1802</v>
      </c>
      <c r="B1104" s="2" t="s">
        <v>70</v>
      </c>
      <c r="C1104" s="2" t="s">
        <v>71</v>
      </c>
      <c r="D1104" s="2" t="s">
        <v>18</v>
      </c>
      <c r="E1104" s="2" t="s">
        <v>26</v>
      </c>
      <c r="F1104" s="2" t="s">
        <v>27</v>
      </c>
      <c r="G1104" s="2" t="s">
        <v>28</v>
      </c>
      <c r="H1104" s="2">
        <v>143</v>
      </c>
      <c r="I1104" s="3">
        <v>8182</v>
      </c>
      <c r="J1104" s="3">
        <v>1170026</v>
      </c>
      <c r="K1104" s="2">
        <v>0</v>
      </c>
      <c r="L1104" s="3">
        <v>1170026</v>
      </c>
      <c r="M1104" s="3">
        <v>671724.45</v>
      </c>
      <c r="N1104" s="3">
        <v>498301.55</v>
      </c>
      <c r="O1104" s="4">
        <v>42.59</v>
      </c>
      <c r="P1104" s="2" t="s">
        <v>43</v>
      </c>
    </row>
    <row r="1105" spans="1:16" x14ac:dyDescent="0.3">
      <c r="A1105" s="5">
        <v>1115</v>
      </c>
      <c r="B1105" s="5" t="s">
        <v>23</v>
      </c>
      <c r="C1105" s="5" t="s">
        <v>24</v>
      </c>
      <c r="D1105" s="5" t="s">
        <v>25</v>
      </c>
      <c r="E1105" s="5" t="s">
        <v>26</v>
      </c>
      <c r="F1105" s="5" t="s">
        <v>32</v>
      </c>
      <c r="G1105" s="5" t="s">
        <v>65</v>
      </c>
      <c r="H1105" s="5">
        <v>57</v>
      </c>
      <c r="I1105" s="6">
        <v>4745</v>
      </c>
      <c r="J1105" s="6">
        <v>270465</v>
      </c>
      <c r="K1105" s="5">
        <v>0</v>
      </c>
      <c r="L1105" s="6">
        <v>270465</v>
      </c>
      <c r="M1105" s="6">
        <v>160071.79999999999</v>
      </c>
      <c r="N1105" s="6">
        <v>110393.2</v>
      </c>
      <c r="O1105" s="7">
        <v>40.82</v>
      </c>
      <c r="P1105" s="5" t="s">
        <v>39</v>
      </c>
    </row>
    <row r="1106" spans="1:16" x14ac:dyDescent="0.3">
      <c r="A1106" s="2">
        <v>2038</v>
      </c>
      <c r="B1106" s="2" t="s">
        <v>76</v>
      </c>
      <c r="C1106" s="2" t="s">
        <v>77</v>
      </c>
      <c r="D1106" s="2" t="s">
        <v>36</v>
      </c>
      <c r="E1106" s="2" t="s">
        <v>19</v>
      </c>
      <c r="F1106" s="2" t="s">
        <v>32</v>
      </c>
      <c r="G1106" s="2" t="s">
        <v>81</v>
      </c>
      <c r="H1106" s="2">
        <v>173</v>
      </c>
      <c r="I1106" s="3">
        <v>14987</v>
      </c>
      <c r="J1106" s="3">
        <v>2592751</v>
      </c>
      <c r="K1106" s="2">
        <v>0</v>
      </c>
      <c r="L1106" s="3">
        <v>2592751</v>
      </c>
      <c r="M1106" s="3">
        <v>1569608.5</v>
      </c>
      <c r="N1106" s="3">
        <v>1023142.5</v>
      </c>
      <c r="O1106" s="4">
        <v>39.46</v>
      </c>
      <c r="P1106" s="2" t="s">
        <v>43</v>
      </c>
    </row>
    <row r="1107" spans="1:16" x14ac:dyDescent="0.3">
      <c r="A1107" s="5">
        <v>1321</v>
      </c>
      <c r="B1107" s="5" t="s">
        <v>57</v>
      </c>
      <c r="C1107" s="5" t="s">
        <v>58</v>
      </c>
      <c r="D1107" s="5" t="s">
        <v>56</v>
      </c>
      <c r="E1107" s="5" t="s">
        <v>26</v>
      </c>
      <c r="F1107" s="5" t="s">
        <v>48</v>
      </c>
      <c r="G1107" s="5" t="s">
        <v>69</v>
      </c>
      <c r="H1107" s="5">
        <v>115</v>
      </c>
      <c r="I1107" s="6">
        <v>1264</v>
      </c>
      <c r="J1107" s="6">
        <v>145360</v>
      </c>
      <c r="K1107" s="5">
        <v>15</v>
      </c>
      <c r="L1107" s="6">
        <v>123556</v>
      </c>
      <c r="M1107" s="6">
        <v>79411.45</v>
      </c>
      <c r="N1107" s="6">
        <v>44144.55</v>
      </c>
      <c r="O1107" s="7">
        <v>35.729999999999997</v>
      </c>
      <c r="P1107" s="5" t="s">
        <v>43</v>
      </c>
    </row>
    <row r="1108" spans="1:16" x14ac:dyDescent="0.3">
      <c r="A1108" s="5">
        <v>1963</v>
      </c>
      <c r="B1108" s="5" t="s">
        <v>34</v>
      </c>
      <c r="C1108" s="5" t="s">
        <v>35</v>
      </c>
      <c r="D1108" s="5" t="s">
        <v>36</v>
      </c>
      <c r="E1108" s="5" t="s">
        <v>42</v>
      </c>
      <c r="F1108" s="5" t="s">
        <v>32</v>
      </c>
      <c r="G1108" s="5" t="s">
        <v>81</v>
      </c>
      <c r="H1108" s="5">
        <v>110</v>
      </c>
      <c r="I1108" s="6">
        <v>13865</v>
      </c>
      <c r="J1108" s="6">
        <v>1525150</v>
      </c>
      <c r="K1108" s="5">
        <v>0</v>
      </c>
      <c r="L1108" s="6">
        <v>1525150</v>
      </c>
      <c r="M1108" s="6">
        <v>1039644.41</v>
      </c>
      <c r="N1108" s="6">
        <v>485505.59</v>
      </c>
      <c r="O1108" s="7">
        <v>31.83</v>
      </c>
      <c r="P1108" s="5" t="s">
        <v>45</v>
      </c>
    </row>
    <row r="1109" spans="1:16" x14ac:dyDescent="0.3">
      <c r="A1109" s="2">
        <v>2105</v>
      </c>
      <c r="B1109" s="2" t="s">
        <v>46</v>
      </c>
      <c r="C1109" s="2" t="s">
        <v>47</v>
      </c>
      <c r="D1109" s="2" t="s">
        <v>36</v>
      </c>
      <c r="E1109" s="2" t="s">
        <v>26</v>
      </c>
      <c r="F1109" s="2" t="s">
        <v>27</v>
      </c>
      <c r="G1109" s="2" t="s">
        <v>84</v>
      </c>
      <c r="H1109" s="2">
        <v>104</v>
      </c>
      <c r="I1109" s="3">
        <v>13862</v>
      </c>
      <c r="J1109" s="3">
        <v>1441648</v>
      </c>
      <c r="K1109" s="2">
        <v>0</v>
      </c>
      <c r="L1109" s="3">
        <v>1441648</v>
      </c>
      <c r="M1109" s="3">
        <v>956724.48</v>
      </c>
      <c r="N1109" s="3">
        <v>484923.52</v>
      </c>
      <c r="O1109" s="4">
        <v>33.64</v>
      </c>
      <c r="P1109" s="2" t="s">
        <v>61</v>
      </c>
    </row>
    <row r="1110" spans="1:16" x14ac:dyDescent="0.3">
      <c r="A1110" s="5">
        <v>2135</v>
      </c>
      <c r="B1110" s="5" t="s">
        <v>46</v>
      </c>
      <c r="C1110" s="5" t="s">
        <v>47</v>
      </c>
      <c r="D1110" s="5" t="s">
        <v>36</v>
      </c>
      <c r="E1110" s="5" t="s">
        <v>19</v>
      </c>
      <c r="F1110" s="5" t="s">
        <v>37</v>
      </c>
      <c r="G1110" s="5" t="s">
        <v>67</v>
      </c>
      <c r="H1110" s="5">
        <v>94</v>
      </c>
      <c r="I1110" s="6">
        <v>1706</v>
      </c>
      <c r="J1110" s="6">
        <v>160364</v>
      </c>
      <c r="K1110" s="5">
        <v>0</v>
      </c>
      <c r="L1110" s="6">
        <v>160364</v>
      </c>
      <c r="M1110" s="6">
        <v>88583.39</v>
      </c>
      <c r="N1110" s="6">
        <v>71780.61</v>
      </c>
      <c r="O1110" s="7">
        <v>44.76</v>
      </c>
      <c r="P1110" s="5" t="s">
        <v>50</v>
      </c>
    </row>
    <row r="1111" spans="1:16" x14ac:dyDescent="0.3">
      <c r="A1111" s="2">
        <v>2179</v>
      </c>
      <c r="B1111" s="2" t="s">
        <v>46</v>
      </c>
      <c r="C1111" s="2" t="s">
        <v>47</v>
      </c>
      <c r="D1111" s="2" t="s">
        <v>36</v>
      </c>
      <c r="E1111" s="2" t="s">
        <v>44</v>
      </c>
      <c r="F1111" s="2" t="s">
        <v>27</v>
      </c>
      <c r="G1111" s="2" t="s">
        <v>66</v>
      </c>
      <c r="H1111" s="2">
        <v>86</v>
      </c>
      <c r="I1111" s="3">
        <v>798</v>
      </c>
      <c r="J1111" s="3">
        <v>68628</v>
      </c>
      <c r="K1111" s="2">
        <v>5</v>
      </c>
      <c r="L1111" s="3">
        <v>65196.6</v>
      </c>
      <c r="M1111" s="3">
        <v>44019.95</v>
      </c>
      <c r="N1111" s="3">
        <v>21176.65</v>
      </c>
      <c r="O1111" s="4">
        <v>32.479999999999997</v>
      </c>
      <c r="P1111" s="2" t="s">
        <v>50</v>
      </c>
    </row>
    <row r="1112" spans="1:16" x14ac:dyDescent="0.3">
      <c r="A1112" s="5">
        <v>1225</v>
      </c>
      <c r="B1112" s="5" t="s">
        <v>52</v>
      </c>
      <c r="C1112" s="5" t="s">
        <v>53</v>
      </c>
      <c r="D1112" s="5" t="s">
        <v>25</v>
      </c>
      <c r="E1112" s="5" t="s">
        <v>26</v>
      </c>
      <c r="F1112" s="5" t="s">
        <v>48</v>
      </c>
      <c r="G1112" s="5" t="s">
        <v>72</v>
      </c>
      <c r="H1112" s="5">
        <v>131</v>
      </c>
      <c r="I1112" s="6">
        <v>3546</v>
      </c>
      <c r="J1112" s="6">
        <v>464526</v>
      </c>
      <c r="K1112" s="5">
        <v>15</v>
      </c>
      <c r="L1112" s="6">
        <v>394847.1</v>
      </c>
      <c r="M1112" s="6">
        <v>221287.25</v>
      </c>
      <c r="N1112" s="6">
        <v>173559.85</v>
      </c>
      <c r="O1112" s="7">
        <v>43.96</v>
      </c>
      <c r="P1112" s="5" t="s">
        <v>43</v>
      </c>
    </row>
    <row r="1113" spans="1:16" x14ac:dyDescent="0.3">
      <c r="A1113" s="2">
        <v>1999</v>
      </c>
      <c r="B1113" s="2" t="s">
        <v>34</v>
      </c>
      <c r="C1113" s="2" t="s">
        <v>35</v>
      </c>
      <c r="D1113" s="2" t="s">
        <v>36</v>
      </c>
      <c r="E1113" s="2" t="s">
        <v>44</v>
      </c>
      <c r="F1113" s="2" t="s">
        <v>48</v>
      </c>
      <c r="G1113" s="2" t="s">
        <v>51</v>
      </c>
      <c r="H1113" s="2">
        <v>168</v>
      </c>
      <c r="I1113" s="3">
        <v>1822</v>
      </c>
      <c r="J1113" s="3">
        <v>306096</v>
      </c>
      <c r="K1113" s="2">
        <v>5</v>
      </c>
      <c r="L1113" s="3">
        <v>290791.2</v>
      </c>
      <c r="M1113" s="3">
        <v>184577.21</v>
      </c>
      <c r="N1113" s="3">
        <v>106213.99</v>
      </c>
      <c r="O1113" s="4">
        <v>36.53</v>
      </c>
      <c r="P1113" s="2" t="s">
        <v>41</v>
      </c>
    </row>
    <row r="1114" spans="1:16" x14ac:dyDescent="0.3">
      <c r="A1114" s="5">
        <v>1797</v>
      </c>
      <c r="B1114" s="5" t="s">
        <v>30</v>
      </c>
      <c r="C1114" s="5" t="s">
        <v>31</v>
      </c>
      <c r="D1114" s="5" t="s">
        <v>18</v>
      </c>
      <c r="E1114" s="5" t="s">
        <v>44</v>
      </c>
      <c r="F1114" s="5" t="s">
        <v>48</v>
      </c>
      <c r="G1114" s="5" t="s">
        <v>78</v>
      </c>
      <c r="H1114" s="5">
        <v>102</v>
      </c>
      <c r="I1114" s="6">
        <v>613</v>
      </c>
      <c r="J1114" s="6">
        <v>62526</v>
      </c>
      <c r="K1114" s="5">
        <v>15</v>
      </c>
      <c r="L1114" s="6">
        <v>53147.1</v>
      </c>
      <c r="M1114" s="6">
        <v>35249.589999999997</v>
      </c>
      <c r="N1114" s="6">
        <v>17897.509999999998</v>
      </c>
      <c r="O1114" s="7">
        <v>33.68</v>
      </c>
      <c r="P1114" s="5" t="s">
        <v>22</v>
      </c>
    </row>
    <row r="1115" spans="1:16" x14ac:dyDescent="0.3">
      <c r="A1115" s="2">
        <v>1640</v>
      </c>
      <c r="B1115" s="2" t="s">
        <v>16</v>
      </c>
      <c r="C1115" s="2" t="s">
        <v>17</v>
      </c>
      <c r="D1115" s="2" t="s">
        <v>18</v>
      </c>
      <c r="E1115" s="2" t="s">
        <v>19</v>
      </c>
      <c r="F1115" s="2" t="s">
        <v>32</v>
      </c>
      <c r="G1115" s="2" t="s">
        <v>65</v>
      </c>
      <c r="H1115" s="2">
        <v>94</v>
      </c>
      <c r="I1115" s="3">
        <v>5162</v>
      </c>
      <c r="J1115" s="3">
        <v>485228</v>
      </c>
      <c r="K1115" s="2">
        <v>10</v>
      </c>
      <c r="L1115" s="3">
        <v>436705.2</v>
      </c>
      <c r="M1115" s="3">
        <v>276966.55</v>
      </c>
      <c r="N1115" s="3">
        <v>159738.65</v>
      </c>
      <c r="O1115" s="4">
        <v>36.58</v>
      </c>
      <c r="P1115" s="2" t="s">
        <v>50</v>
      </c>
    </row>
    <row r="1116" spans="1:16" x14ac:dyDescent="0.3">
      <c r="A1116" s="5">
        <v>2199</v>
      </c>
      <c r="B1116" s="5" t="s">
        <v>46</v>
      </c>
      <c r="C1116" s="5" t="s">
        <v>47</v>
      </c>
      <c r="D1116" s="5" t="s">
        <v>36</v>
      </c>
      <c r="E1116" s="5" t="s">
        <v>44</v>
      </c>
      <c r="F1116" s="5" t="s">
        <v>48</v>
      </c>
      <c r="G1116" s="5" t="s">
        <v>51</v>
      </c>
      <c r="H1116" s="5">
        <v>112</v>
      </c>
      <c r="I1116" s="6">
        <v>2105</v>
      </c>
      <c r="J1116" s="6">
        <v>235760</v>
      </c>
      <c r="K1116" s="5">
        <v>0</v>
      </c>
      <c r="L1116" s="6">
        <v>235760</v>
      </c>
      <c r="M1116" s="6">
        <v>132417.03</v>
      </c>
      <c r="N1116" s="6">
        <v>103342.97</v>
      </c>
      <c r="O1116" s="7">
        <v>43.83</v>
      </c>
      <c r="P1116" s="5" t="s">
        <v>39</v>
      </c>
    </row>
    <row r="1117" spans="1:16" x14ac:dyDescent="0.3">
      <c r="A1117" s="2">
        <v>1883</v>
      </c>
      <c r="B1117" s="2" t="s">
        <v>70</v>
      </c>
      <c r="C1117" s="2" t="s">
        <v>71</v>
      </c>
      <c r="D1117" s="2" t="s">
        <v>18</v>
      </c>
      <c r="E1117" s="2" t="s">
        <v>44</v>
      </c>
      <c r="F1117" s="2" t="s">
        <v>37</v>
      </c>
      <c r="G1117" s="2" t="s">
        <v>38</v>
      </c>
      <c r="H1117" s="2">
        <v>114</v>
      </c>
      <c r="I1117" s="3">
        <v>1862</v>
      </c>
      <c r="J1117" s="3">
        <v>212268</v>
      </c>
      <c r="K1117" s="2">
        <v>0</v>
      </c>
      <c r="L1117" s="3">
        <v>212268</v>
      </c>
      <c r="M1117" s="3">
        <v>124666.77</v>
      </c>
      <c r="N1117" s="3">
        <v>87601.23</v>
      </c>
      <c r="O1117" s="4">
        <v>41.27</v>
      </c>
      <c r="P1117" s="2" t="s">
        <v>39</v>
      </c>
    </row>
    <row r="1118" spans="1:16" x14ac:dyDescent="0.3">
      <c r="A1118" s="2">
        <v>1337</v>
      </c>
      <c r="B1118" s="2" t="s">
        <v>57</v>
      </c>
      <c r="C1118" s="2" t="s">
        <v>58</v>
      </c>
      <c r="D1118" s="2" t="s">
        <v>56</v>
      </c>
      <c r="E1118" s="2" t="s">
        <v>19</v>
      </c>
      <c r="F1118" s="2" t="s">
        <v>32</v>
      </c>
      <c r="G1118" s="2" t="s">
        <v>75</v>
      </c>
      <c r="H1118" s="2">
        <v>67</v>
      </c>
      <c r="I1118" s="3">
        <v>12708</v>
      </c>
      <c r="J1118" s="3">
        <v>851436</v>
      </c>
      <c r="K1118" s="2">
        <v>10</v>
      </c>
      <c r="L1118" s="3">
        <v>766292.4</v>
      </c>
      <c r="M1118" s="3">
        <v>485580.16</v>
      </c>
      <c r="N1118" s="3">
        <v>280712.24</v>
      </c>
      <c r="O1118" s="4">
        <v>36.630000000000003</v>
      </c>
      <c r="P1118" s="2" t="s">
        <v>41</v>
      </c>
    </row>
    <row r="1119" spans="1:16" x14ac:dyDescent="0.3">
      <c r="A1119" s="5">
        <v>2188</v>
      </c>
      <c r="B1119" s="5" t="s">
        <v>46</v>
      </c>
      <c r="C1119" s="5" t="s">
        <v>47</v>
      </c>
      <c r="D1119" s="5" t="s">
        <v>36</v>
      </c>
      <c r="E1119" s="5" t="s">
        <v>44</v>
      </c>
      <c r="F1119" s="5" t="s">
        <v>32</v>
      </c>
      <c r="G1119" s="5" t="s">
        <v>81</v>
      </c>
      <c r="H1119" s="5">
        <v>39</v>
      </c>
      <c r="I1119" s="6">
        <v>13417</v>
      </c>
      <c r="J1119" s="6">
        <v>523263</v>
      </c>
      <c r="K1119" s="5">
        <v>0</v>
      </c>
      <c r="L1119" s="6">
        <v>523263</v>
      </c>
      <c r="M1119" s="6">
        <v>328127.75</v>
      </c>
      <c r="N1119" s="6">
        <v>195135.25</v>
      </c>
      <c r="O1119" s="7">
        <v>37.29</v>
      </c>
      <c r="P1119" s="5" t="s">
        <v>61</v>
      </c>
    </row>
    <row r="1120" spans="1:16" x14ac:dyDescent="0.3">
      <c r="A1120" s="2">
        <v>2141</v>
      </c>
      <c r="B1120" s="2" t="s">
        <v>46</v>
      </c>
      <c r="C1120" s="2" t="s">
        <v>47</v>
      </c>
      <c r="D1120" s="2" t="s">
        <v>36</v>
      </c>
      <c r="E1120" s="2" t="s">
        <v>19</v>
      </c>
      <c r="F1120" s="2" t="s">
        <v>20</v>
      </c>
      <c r="G1120" s="2" t="s">
        <v>64</v>
      </c>
      <c r="H1120" s="2">
        <v>143</v>
      </c>
      <c r="I1120" s="3">
        <v>193</v>
      </c>
      <c r="J1120" s="3">
        <v>27599</v>
      </c>
      <c r="K1120" s="2">
        <v>0</v>
      </c>
      <c r="L1120" s="3">
        <v>27599</v>
      </c>
      <c r="M1120" s="3">
        <v>17310.38</v>
      </c>
      <c r="N1120" s="3">
        <v>10288.620000000001</v>
      </c>
      <c r="O1120" s="4">
        <v>37.28</v>
      </c>
      <c r="P1120" s="2" t="s">
        <v>41</v>
      </c>
    </row>
    <row r="1121" spans="1:16" x14ac:dyDescent="0.3">
      <c r="A1121" s="5">
        <v>1363</v>
      </c>
      <c r="B1121" s="5" t="s">
        <v>57</v>
      </c>
      <c r="C1121" s="5" t="s">
        <v>58</v>
      </c>
      <c r="D1121" s="5" t="s">
        <v>56</v>
      </c>
      <c r="E1121" s="5" t="s">
        <v>42</v>
      </c>
      <c r="F1121" s="5" t="s">
        <v>32</v>
      </c>
      <c r="G1121" s="5" t="s">
        <v>81</v>
      </c>
      <c r="H1121" s="5">
        <v>110</v>
      </c>
      <c r="I1121" s="6">
        <v>13250</v>
      </c>
      <c r="J1121" s="6">
        <v>1457500</v>
      </c>
      <c r="K1121" s="5">
        <v>0</v>
      </c>
      <c r="L1121" s="6">
        <v>1457500</v>
      </c>
      <c r="M1121" s="6">
        <v>1001279.85</v>
      </c>
      <c r="N1121" s="6">
        <v>456220.15</v>
      </c>
      <c r="O1121" s="7">
        <v>31.3</v>
      </c>
      <c r="P1121" s="5" t="s">
        <v>61</v>
      </c>
    </row>
    <row r="1122" spans="1:16" x14ac:dyDescent="0.3">
      <c r="A1122" s="2">
        <v>1068</v>
      </c>
      <c r="B1122" s="2" t="s">
        <v>62</v>
      </c>
      <c r="C1122" s="2" t="s">
        <v>63</v>
      </c>
      <c r="D1122" s="2" t="s">
        <v>25</v>
      </c>
      <c r="E1122" s="2" t="s">
        <v>42</v>
      </c>
      <c r="F1122" s="2" t="s">
        <v>20</v>
      </c>
      <c r="G1122" s="2" t="s">
        <v>21</v>
      </c>
      <c r="H1122" s="2">
        <v>54</v>
      </c>
      <c r="I1122" s="3">
        <v>128</v>
      </c>
      <c r="J1122" s="3">
        <v>6912</v>
      </c>
      <c r="K1122" s="2">
        <v>5</v>
      </c>
      <c r="L1122" s="3">
        <v>6566.4</v>
      </c>
      <c r="M1122" s="3">
        <v>3831.09</v>
      </c>
      <c r="N1122" s="3">
        <v>2735.31</v>
      </c>
      <c r="O1122" s="4">
        <v>41.66</v>
      </c>
      <c r="P1122" s="2" t="s">
        <v>45</v>
      </c>
    </row>
    <row r="1123" spans="1:16" x14ac:dyDescent="0.3">
      <c r="A1123" s="5">
        <v>1074</v>
      </c>
      <c r="B1123" s="5" t="s">
        <v>62</v>
      </c>
      <c r="C1123" s="5" t="s">
        <v>63</v>
      </c>
      <c r="D1123" s="5" t="s">
        <v>25</v>
      </c>
      <c r="E1123" s="5" t="s">
        <v>42</v>
      </c>
      <c r="F1123" s="5" t="s">
        <v>48</v>
      </c>
      <c r="G1123" s="5" t="s">
        <v>51</v>
      </c>
      <c r="H1123" s="5">
        <v>16</v>
      </c>
      <c r="I1123" s="6">
        <v>2170</v>
      </c>
      <c r="J1123" s="6">
        <v>34720</v>
      </c>
      <c r="K1123" s="5">
        <v>5</v>
      </c>
      <c r="L1123" s="6">
        <v>32984</v>
      </c>
      <c r="M1123" s="6">
        <v>19943.22</v>
      </c>
      <c r="N1123" s="6">
        <v>13040.78</v>
      </c>
      <c r="O1123" s="7">
        <v>39.54</v>
      </c>
      <c r="P1123" s="5" t="s">
        <v>29</v>
      </c>
    </row>
    <row r="1124" spans="1:16" x14ac:dyDescent="0.3">
      <c r="A1124" s="2">
        <v>1942</v>
      </c>
      <c r="B1124" s="2" t="s">
        <v>34</v>
      </c>
      <c r="C1124" s="2" t="s">
        <v>35</v>
      </c>
      <c r="D1124" s="2" t="s">
        <v>36</v>
      </c>
      <c r="E1124" s="2" t="s">
        <v>19</v>
      </c>
      <c r="F1124" s="2" t="s">
        <v>20</v>
      </c>
      <c r="G1124" s="2" t="s">
        <v>80</v>
      </c>
      <c r="H1124" s="2">
        <v>28</v>
      </c>
      <c r="I1124" s="3">
        <v>87</v>
      </c>
      <c r="J1124" s="3">
        <v>2436</v>
      </c>
      <c r="K1124" s="2">
        <v>5</v>
      </c>
      <c r="L1124" s="3">
        <v>2314.1999999999998</v>
      </c>
      <c r="M1124" s="3">
        <v>1388.6</v>
      </c>
      <c r="N1124" s="3">
        <v>925.6</v>
      </c>
      <c r="O1124" s="4">
        <v>40</v>
      </c>
      <c r="P1124" s="2" t="s">
        <v>22</v>
      </c>
    </row>
    <row r="1125" spans="1:16" x14ac:dyDescent="0.3">
      <c r="A1125" s="5">
        <v>1907</v>
      </c>
      <c r="B1125" s="5" t="s">
        <v>34</v>
      </c>
      <c r="C1125" s="5" t="s">
        <v>35</v>
      </c>
      <c r="D1125" s="5" t="s">
        <v>36</v>
      </c>
      <c r="E1125" s="5" t="s">
        <v>26</v>
      </c>
      <c r="F1125" s="5" t="s">
        <v>37</v>
      </c>
      <c r="G1125" s="5" t="s">
        <v>79</v>
      </c>
      <c r="H1125" s="5">
        <v>186</v>
      </c>
      <c r="I1125" s="6">
        <v>1297</v>
      </c>
      <c r="J1125" s="6">
        <v>241242</v>
      </c>
      <c r="K1125" s="5">
        <v>10</v>
      </c>
      <c r="L1125" s="6">
        <v>217117.8</v>
      </c>
      <c r="M1125" s="6">
        <v>146929.72</v>
      </c>
      <c r="N1125" s="6">
        <v>70188.08</v>
      </c>
      <c r="O1125" s="7">
        <v>32.33</v>
      </c>
      <c r="P1125" s="5" t="s">
        <v>22</v>
      </c>
    </row>
    <row r="1126" spans="1:16" x14ac:dyDescent="0.3">
      <c r="A1126" s="2">
        <v>1771</v>
      </c>
      <c r="B1126" s="2" t="s">
        <v>30</v>
      </c>
      <c r="C1126" s="2" t="s">
        <v>31</v>
      </c>
      <c r="D1126" s="2" t="s">
        <v>18</v>
      </c>
      <c r="E1126" s="2" t="s">
        <v>42</v>
      </c>
      <c r="F1126" s="2" t="s">
        <v>48</v>
      </c>
      <c r="G1126" s="2" t="s">
        <v>69</v>
      </c>
      <c r="H1126" s="2">
        <v>155</v>
      </c>
      <c r="I1126" s="3">
        <v>1090</v>
      </c>
      <c r="J1126" s="3">
        <v>168950</v>
      </c>
      <c r="K1126" s="2">
        <v>10</v>
      </c>
      <c r="L1126" s="3">
        <v>152055</v>
      </c>
      <c r="M1126" s="3">
        <v>85984.63</v>
      </c>
      <c r="N1126" s="3">
        <v>66070.37</v>
      </c>
      <c r="O1126" s="4">
        <v>43.45</v>
      </c>
      <c r="P1126" s="2" t="s">
        <v>50</v>
      </c>
    </row>
    <row r="1127" spans="1:16" x14ac:dyDescent="0.3">
      <c r="A1127" s="5">
        <v>1645</v>
      </c>
      <c r="B1127" s="5" t="s">
        <v>16</v>
      </c>
      <c r="C1127" s="5" t="s">
        <v>17</v>
      </c>
      <c r="D1127" s="5" t="s">
        <v>18</v>
      </c>
      <c r="E1127" s="5" t="s">
        <v>19</v>
      </c>
      <c r="F1127" s="5" t="s">
        <v>20</v>
      </c>
      <c r="G1127" s="5" t="s">
        <v>60</v>
      </c>
      <c r="H1127" s="5">
        <v>58</v>
      </c>
      <c r="I1127" s="6">
        <v>89</v>
      </c>
      <c r="J1127" s="6">
        <v>5162</v>
      </c>
      <c r="K1127" s="5">
        <v>15</v>
      </c>
      <c r="L1127" s="6">
        <v>4387.7</v>
      </c>
      <c r="M1127" s="6">
        <v>2898.12</v>
      </c>
      <c r="N1127" s="6">
        <v>1489.58</v>
      </c>
      <c r="O1127" s="7">
        <v>33.950000000000003</v>
      </c>
      <c r="P1127" s="5" t="s">
        <v>45</v>
      </c>
    </row>
    <row r="1128" spans="1:16" x14ac:dyDescent="0.3">
      <c r="A1128" s="2">
        <v>1922</v>
      </c>
      <c r="B1128" s="2" t="s">
        <v>34</v>
      </c>
      <c r="C1128" s="2" t="s">
        <v>35</v>
      </c>
      <c r="D1128" s="2" t="s">
        <v>36</v>
      </c>
      <c r="E1128" s="2" t="s">
        <v>26</v>
      </c>
      <c r="F1128" s="2" t="s">
        <v>48</v>
      </c>
      <c r="G1128" s="2" t="s">
        <v>78</v>
      </c>
      <c r="H1128" s="2">
        <v>193</v>
      </c>
      <c r="I1128" s="3">
        <v>630</v>
      </c>
      <c r="J1128" s="3">
        <v>121590</v>
      </c>
      <c r="K1128" s="2">
        <v>0</v>
      </c>
      <c r="L1128" s="3">
        <v>121590</v>
      </c>
      <c r="M1128" s="3">
        <v>70925.009999999995</v>
      </c>
      <c r="N1128" s="3">
        <v>50664.99</v>
      </c>
      <c r="O1128" s="4">
        <v>41.67</v>
      </c>
      <c r="P1128" s="2" t="s">
        <v>50</v>
      </c>
    </row>
    <row r="1129" spans="1:16" x14ac:dyDescent="0.3">
      <c r="A1129" s="5">
        <v>1786</v>
      </c>
      <c r="B1129" s="5" t="s">
        <v>30</v>
      </c>
      <c r="C1129" s="5" t="s">
        <v>31</v>
      </c>
      <c r="D1129" s="5" t="s">
        <v>18</v>
      </c>
      <c r="E1129" s="5" t="s">
        <v>44</v>
      </c>
      <c r="F1129" s="5" t="s">
        <v>32</v>
      </c>
      <c r="G1129" s="5" t="s">
        <v>40</v>
      </c>
      <c r="H1129" s="5">
        <v>153</v>
      </c>
      <c r="I1129" s="6">
        <v>18348</v>
      </c>
      <c r="J1129" s="6">
        <v>2807244</v>
      </c>
      <c r="K1129" s="5">
        <v>0</v>
      </c>
      <c r="L1129" s="6">
        <v>2807244</v>
      </c>
      <c r="M1129" s="6">
        <v>1640755.71</v>
      </c>
      <c r="N1129" s="6">
        <v>1166488.29</v>
      </c>
      <c r="O1129" s="7">
        <v>41.55</v>
      </c>
      <c r="P1129" s="5" t="s">
        <v>22</v>
      </c>
    </row>
    <row r="1130" spans="1:16" x14ac:dyDescent="0.3">
      <c r="A1130" s="5">
        <v>1882</v>
      </c>
      <c r="B1130" s="5" t="s">
        <v>70</v>
      </c>
      <c r="C1130" s="5" t="s">
        <v>71</v>
      </c>
      <c r="D1130" s="5" t="s">
        <v>18</v>
      </c>
      <c r="E1130" s="5" t="s">
        <v>44</v>
      </c>
      <c r="F1130" s="5" t="s">
        <v>37</v>
      </c>
      <c r="G1130" s="5" t="s">
        <v>79</v>
      </c>
      <c r="H1130" s="5">
        <v>128</v>
      </c>
      <c r="I1130" s="6">
        <v>1082</v>
      </c>
      <c r="J1130" s="6">
        <v>138496</v>
      </c>
      <c r="K1130" s="5">
        <v>0</v>
      </c>
      <c r="L1130" s="6">
        <v>138496</v>
      </c>
      <c r="M1130" s="6">
        <v>88244.33</v>
      </c>
      <c r="N1130" s="6">
        <v>50251.67</v>
      </c>
      <c r="O1130" s="7">
        <v>36.28</v>
      </c>
      <c r="P1130" s="5" t="s">
        <v>39</v>
      </c>
    </row>
    <row r="1131" spans="1:16" x14ac:dyDescent="0.3">
      <c r="A1131" s="2">
        <v>1065</v>
      </c>
      <c r="B1131" s="2" t="s">
        <v>62</v>
      </c>
      <c r="C1131" s="2" t="s">
        <v>63</v>
      </c>
      <c r="D1131" s="2" t="s">
        <v>25</v>
      </c>
      <c r="E1131" s="2" t="s">
        <v>42</v>
      </c>
      <c r="F1131" s="2" t="s">
        <v>32</v>
      </c>
      <c r="G1131" s="2" t="s">
        <v>65</v>
      </c>
      <c r="H1131" s="2">
        <v>113</v>
      </c>
      <c r="I1131" s="3">
        <v>4525</v>
      </c>
      <c r="J1131" s="3">
        <v>511325</v>
      </c>
      <c r="K1131" s="2">
        <v>10</v>
      </c>
      <c r="L1131" s="3">
        <v>460192.5</v>
      </c>
      <c r="M1131" s="3">
        <v>307113.13</v>
      </c>
      <c r="N1131" s="3">
        <v>153079.37</v>
      </c>
      <c r="O1131" s="4">
        <v>33.26</v>
      </c>
      <c r="P1131" s="2" t="s">
        <v>22</v>
      </c>
    </row>
    <row r="1132" spans="1:16" x14ac:dyDescent="0.3">
      <c r="A1132" s="5">
        <v>1037</v>
      </c>
      <c r="B1132" s="5" t="s">
        <v>62</v>
      </c>
      <c r="C1132" s="5" t="s">
        <v>63</v>
      </c>
      <c r="D1132" s="5" t="s">
        <v>25</v>
      </c>
      <c r="E1132" s="5" t="s">
        <v>19</v>
      </c>
      <c r="F1132" s="5" t="s">
        <v>32</v>
      </c>
      <c r="G1132" s="5" t="s">
        <v>75</v>
      </c>
      <c r="H1132" s="5">
        <v>57</v>
      </c>
      <c r="I1132" s="6">
        <v>11921</v>
      </c>
      <c r="J1132" s="6">
        <v>679497</v>
      </c>
      <c r="K1132" s="5">
        <v>0</v>
      </c>
      <c r="L1132" s="6">
        <v>679497</v>
      </c>
      <c r="M1132" s="6">
        <v>442355.73</v>
      </c>
      <c r="N1132" s="6">
        <v>237141.27</v>
      </c>
      <c r="O1132" s="7">
        <v>34.9</v>
      </c>
      <c r="P1132" s="5" t="s">
        <v>29</v>
      </c>
    </row>
    <row r="1133" spans="1:16" x14ac:dyDescent="0.3">
      <c r="A1133" s="2">
        <v>2120</v>
      </c>
      <c r="B1133" s="2" t="s">
        <v>46</v>
      </c>
      <c r="C1133" s="2" t="s">
        <v>47</v>
      </c>
      <c r="D1133" s="2" t="s">
        <v>36</v>
      </c>
      <c r="E1133" s="2" t="s">
        <v>26</v>
      </c>
      <c r="F1133" s="2" t="s">
        <v>20</v>
      </c>
      <c r="G1133" s="2" t="s">
        <v>60</v>
      </c>
      <c r="H1133" s="2">
        <v>122</v>
      </c>
      <c r="I1133" s="3">
        <v>94</v>
      </c>
      <c r="J1133" s="3">
        <v>11468</v>
      </c>
      <c r="K1133" s="2">
        <v>10</v>
      </c>
      <c r="L1133" s="3">
        <v>10321.200000000001</v>
      </c>
      <c r="M1133" s="3">
        <v>6032.84</v>
      </c>
      <c r="N1133" s="3">
        <v>4288.3599999999997</v>
      </c>
      <c r="O1133" s="4">
        <v>41.55</v>
      </c>
      <c r="P1133" s="2" t="s">
        <v>29</v>
      </c>
    </row>
    <row r="1134" spans="1:16" x14ac:dyDescent="0.3">
      <c r="A1134" s="5">
        <v>2108</v>
      </c>
      <c r="B1134" s="5" t="s">
        <v>46</v>
      </c>
      <c r="C1134" s="5" t="s">
        <v>47</v>
      </c>
      <c r="D1134" s="5" t="s">
        <v>36</v>
      </c>
      <c r="E1134" s="5" t="s">
        <v>26</v>
      </c>
      <c r="F1134" s="5" t="s">
        <v>37</v>
      </c>
      <c r="G1134" s="5" t="s">
        <v>38</v>
      </c>
      <c r="H1134" s="5">
        <v>221</v>
      </c>
      <c r="I1134" s="6">
        <v>1832</v>
      </c>
      <c r="J1134" s="6">
        <v>404872</v>
      </c>
      <c r="K1134" s="5">
        <v>0</v>
      </c>
      <c r="L1134" s="6">
        <v>404872</v>
      </c>
      <c r="M1134" s="6">
        <v>233575.49</v>
      </c>
      <c r="N1134" s="6">
        <v>171296.51</v>
      </c>
      <c r="O1134" s="7">
        <v>42.31</v>
      </c>
      <c r="P1134" s="5" t="s">
        <v>29</v>
      </c>
    </row>
    <row r="1135" spans="1:16" x14ac:dyDescent="0.3">
      <c r="A1135" s="2">
        <v>1704</v>
      </c>
      <c r="B1135" s="2" t="s">
        <v>30</v>
      </c>
      <c r="C1135" s="2" t="s">
        <v>31</v>
      </c>
      <c r="D1135" s="2" t="s">
        <v>18</v>
      </c>
      <c r="E1135" s="2" t="s">
        <v>26</v>
      </c>
      <c r="F1135" s="2" t="s">
        <v>27</v>
      </c>
      <c r="G1135" s="2" t="s">
        <v>66</v>
      </c>
      <c r="H1135" s="2">
        <v>143</v>
      </c>
      <c r="I1135" s="3">
        <v>727</v>
      </c>
      <c r="J1135" s="3">
        <v>103961</v>
      </c>
      <c r="K1135" s="2">
        <v>0</v>
      </c>
      <c r="L1135" s="3">
        <v>103961</v>
      </c>
      <c r="M1135" s="3">
        <v>69219.5</v>
      </c>
      <c r="N1135" s="3">
        <v>34741.5</v>
      </c>
      <c r="O1135" s="4">
        <v>33.42</v>
      </c>
      <c r="P1135" s="2" t="s">
        <v>39</v>
      </c>
    </row>
    <row r="1136" spans="1:16" x14ac:dyDescent="0.3">
      <c r="A1136" s="5">
        <v>2111</v>
      </c>
      <c r="B1136" s="5" t="s">
        <v>46</v>
      </c>
      <c r="C1136" s="5" t="s">
        <v>47</v>
      </c>
      <c r="D1136" s="5" t="s">
        <v>36</v>
      </c>
      <c r="E1136" s="5" t="s">
        <v>26</v>
      </c>
      <c r="F1136" s="5" t="s">
        <v>32</v>
      </c>
      <c r="G1136" s="5" t="s">
        <v>40</v>
      </c>
      <c r="H1136" s="5">
        <v>84</v>
      </c>
      <c r="I1136" s="6">
        <v>16828</v>
      </c>
      <c r="J1136" s="6">
        <v>1413552</v>
      </c>
      <c r="K1136" s="5">
        <v>0</v>
      </c>
      <c r="L1136" s="6">
        <v>1413552</v>
      </c>
      <c r="M1136" s="6">
        <v>903882.82</v>
      </c>
      <c r="N1136" s="6">
        <v>509669.18</v>
      </c>
      <c r="O1136" s="7">
        <v>36.06</v>
      </c>
      <c r="P1136" s="5" t="s">
        <v>39</v>
      </c>
    </row>
    <row r="1137" spans="1:16" x14ac:dyDescent="0.3">
      <c r="A1137" s="2">
        <v>1536</v>
      </c>
      <c r="B1137" s="2" t="s">
        <v>73</v>
      </c>
      <c r="C1137" s="2" t="s">
        <v>74</v>
      </c>
      <c r="D1137" s="2" t="s">
        <v>56</v>
      </c>
      <c r="E1137" s="2" t="s">
        <v>19</v>
      </c>
      <c r="F1137" s="2" t="s">
        <v>32</v>
      </c>
      <c r="G1137" s="2" t="s">
        <v>40</v>
      </c>
      <c r="H1137" s="2">
        <v>70</v>
      </c>
      <c r="I1137" s="3">
        <v>17118</v>
      </c>
      <c r="J1137" s="3">
        <v>1198260</v>
      </c>
      <c r="K1137" s="2">
        <v>0</v>
      </c>
      <c r="L1137" s="3">
        <v>1198260</v>
      </c>
      <c r="M1137" s="3">
        <v>819777.91</v>
      </c>
      <c r="N1137" s="3">
        <v>378482.09</v>
      </c>
      <c r="O1137" s="4">
        <v>31.59</v>
      </c>
      <c r="P1137" s="2" t="s">
        <v>29</v>
      </c>
    </row>
    <row r="1138" spans="1:16" x14ac:dyDescent="0.3">
      <c r="A1138" s="5">
        <v>2034</v>
      </c>
      <c r="B1138" s="5" t="s">
        <v>76</v>
      </c>
      <c r="C1138" s="5" t="s">
        <v>77</v>
      </c>
      <c r="D1138" s="5" t="s">
        <v>36</v>
      </c>
      <c r="E1138" s="5" t="s">
        <v>19</v>
      </c>
      <c r="F1138" s="5" t="s">
        <v>37</v>
      </c>
      <c r="G1138" s="5" t="s">
        <v>82</v>
      </c>
      <c r="H1138" s="5">
        <v>42</v>
      </c>
      <c r="I1138" s="6">
        <v>1595</v>
      </c>
      <c r="J1138" s="6">
        <v>66990</v>
      </c>
      <c r="K1138" s="5">
        <v>0</v>
      </c>
      <c r="L1138" s="6">
        <v>66990</v>
      </c>
      <c r="M1138" s="6">
        <v>44452</v>
      </c>
      <c r="N1138" s="6">
        <v>22538</v>
      </c>
      <c r="O1138" s="7">
        <v>33.64</v>
      </c>
      <c r="P1138" s="5" t="s">
        <v>61</v>
      </c>
    </row>
    <row r="1139" spans="1:16" x14ac:dyDescent="0.3">
      <c r="A1139" s="2">
        <v>2005</v>
      </c>
      <c r="B1139" s="2" t="s">
        <v>76</v>
      </c>
      <c r="C1139" s="2" t="s">
        <v>77</v>
      </c>
      <c r="D1139" s="2" t="s">
        <v>36</v>
      </c>
      <c r="E1139" s="2" t="s">
        <v>26</v>
      </c>
      <c r="F1139" s="2" t="s">
        <v>27</v>
      </c>
      <c r="G1139" s="2" t="s">
        <v>84</v>
      </c>
      <c r="H1139" s="2">
        <v>74</v>
      </c>
      <c r="I1139" s="3">
        <v>14407</v>
      </c>
      <c r="J1139" s="3">
        <v>1066118</v>
      </c>
      <c r="K1139" s="2">
        <v>0</v>
      </c>
      <c r="L1139" s="3">
        <v>1066118</v>
      </c>
      <c r="M1139" s="3">
        <v>646208.61</v>
      </c>
      <c r="N1139" s="3">
        <v>419909.39</v>
      </c>
      <c r="O1139" s="4">
        <v>39.39</v>
      </c>
      <c r="P1139" s="2" t="s">
        <v>43</v>
      </c>
    </row>
    <row r="1140" spans="1:16" x14ac:dyDescent="0.3">
      <c r="A1140" s="5">
        <v>2020</v>
      </c>
      <c r="B1140" s="5" t="s">
        <v>76</v>
      </c>
      <c r="C1140" s="5" t="s">
        <v>77</v>
      </c>
      <c r="D1140" s="5" t="s">
        <v>36</v>
      </c>
      <c r="E1140" s="5" t="s">
        <v>26</v>
      </c>
      <c r="F1140" s="5" t="s">
        <v>20</v>
      </c>
      <c r="G1140" s="5" t="s">
        <v>60</v>
      </c>
      <c r="H1140" s="5">
        <v>144</v>
      </c>
      <c r="I1140" s="6">
        <v>83</v>
      </c>
      <c r="J1140" s="6">
        <v>11952</v>
      </c>
      <c r="K1140" s="5">
        <v>20</v>
      </c>
      <c r="L1140" s="6">
        <v>9561.6</v>
      </c>
      <c r="M1140" s="6">
        <v>5398.38</v>
      </c>
      <c r="N1140" s="6">
        <v>4163.22</v>
      </c>
      <c r="O1140" s="7">
        <v>43.54</v>
      </c>
      <c r="P1140" s="5" t="s">
        <v>50</v>
      </c>
    </row>
    <row r="1141" spans="1:16" x14ac:dyDescent="0.3">
      <c r="A1141" s="2">
        <v>1602</v>
      </c>
      <c r="B1141" s="2" t="s">
        <v>16</v>
      </c>
      <c r="C1141" s="2" t="s">
        <v>17</v>
      </c>
      <c r="D1141" s="2" t="s">
        <v>18</v>
      </c>
      <c r="E1141" s="2" t="s">
        <v>26</v>
      </c>
      <c r="F1141" s="2" t="s">
        <v>27</v>
      </c>
      <c r="G1141" s="2" t="s">
        <v>28</v>
      </c>
      <c r="H1141" s="2">
        <v>64</v>
      </c>
      <c r="I1141" s="3">
        <v>7279</v>
      </c>
      <c r="J1141" s="3">
        <v>465856</v>
      </c>
      <c r="K1141" s="2">
        <v>20</v>
      </c>
      <c r="L1141" s="3">
        <v>372684.79999999999</v>
      </c>
      <c r="M1141" s="3">
        <v>213562.74</v>
      </c>
      <c r="N1141" s="3">
        <v>159122.06</v>
      </c>
      <c r="O1141" s="4">
        <v>42.7</v>
      </c>
      <c r="P1141" s="2" t="s">
        <v>41</v>
      </c>
    </row>
    <row r="1142" spans="1:16" x14ac:dyDescent="0.3">
      <c r="A1142" s="5">
        <v>1414</v>
      </c>
      <c r="B1142" s="5" t="s">
        <v>54</v>
      </c>
      <c r="C1142" s="5" t="s">
        <v>55</v>
      </c>
      <c r="D1142" s="5" t="s">
        <v>56</v>
      </c>
      <c r="E1142" s="5" t="s">
        <v>26</v>
      </c>
      <c r="F1142" s="5" t="s">
        <v>32</v>
      </c>
      <c r="G1142" s="5" t="s">
        <v>33</v>
      </c>
      <c r="H1142" s="5">
        <v>134</v>
      </c>
      <c r="I1142" s="6">
        <v>9032</v>
      </c>
      <c r="J1142" s="6">
        <v>1210288</v>
      </c>
      <c r="K1142" s="5">
        <v>15</v>
      </c>
      <c r="L1142" s="6">
        <v>1028744.8</v>
      </c>
      <c r="M1142" s="6">
        <v>611361.27</v>
      </c>
      <c r="N1142" s="6">
        <v>417383.53</v>
      </c>
      <c r="O1142" s="7">
        <v>40.57</v>
      </c>
      <c r="P1142" s="5" t="s">
        <v>45</v>
      </c>
    </row>
    <row r="1143" spans="1:16" x14ac:dyDescent="0.3">
      <c r="A1143" s="2">
        <v>1955</v>
      </c>
      <c r="B1143" s="2" t="s">
        <v>34</v>
      </c>
      <c r="C1143" s="2" t="s">
        <v>35</v>
      </c>
      <c r="D1143" s="2" t="s">
        <v>36</v>
      </c>
      <c r="E1143" s="2" t="s">
        <v>42</v>
      </c>
      <c r="F1143" s="2" t="s">
        <v>27</v>
      </c>
      <c r="G1143" s="2" t="s">
        <v>84</v>
      </c>
      <c r="H1143" s="2">
        <v>124</v>
      </c>
      <c r="I1143" s="3">
        <v>15337</v>
      </c>
      <c r="J1143" s="3">
        <v>1901788</v>
      </c>
      <c r="K1143" s="2">
        <v>5</v>
      </c>
      <c r="L1143" s="3">
        <v>1806698.6</v>
      </c>
      <c r="M1143" s="3">
        <v>1056262.5900000001</v>
      </c>
      <c r="N1143" s="3">
        <v>750436.01</v>
      </c>
      <c r="O1143" s="4">
        <v>41.54</v>
      </c>
      <c r="P1143" s="2" t="s">
        <v>43</v>
      </c>
    </row>
    <row r="1144" spans="1:16" x14ac:dyDescent="0.3">
      <c r="A1144" s="5">
        <v>2009</v>
      </c>
      <c r="B1144" s="5" t="s">
        <v>76</v>
      </c>
      <c r="C1144" s="5" t="s">
        <v>77</v>
      </c>
      <c r="D1144" s="5" t="s">
        <v>36</v>
      </c>
      <c r="E1144" s="5" t="s">
        <v>26</v>
      </c>
      <c r="F1144" s="5" t="s">
        <v>37</v>
      </c>
      <c r="G1144" s="5" t="s">
        <v>82</v>
      </c>
      <c r="H1144" s="5">
        <v>71</v>
      </c>
      <c r="I1144" s="6">
        <v>1361</v>
      </c>
      <c r="J1144" s="6">
        <v>96631</v>
      </c>
      <c r="K1144" s="5">
        <v>15</v>
      </c>
      <c r="L1144" s="6">
        <v>82136.350000000006</v>
      </c>
      <c r="M1144" s="6">
        <v>53967.82</v>
      </c>
      <c r="N1144" s="6">
        <v>28168.53</v>
      </c>
      <c r="O1144" s="7">
        <v>34.29</v>
      </c>
      <c r="P1144" s="5" t="s">
        <v>29</v>
      </c>
    </row>
    <row r="1145" spans="1:16" x14ac:dyDescent="0.3">
      <c r="A1145" s="2">
        <v>2065</v>
      </c>
      <c r="B1145" s="2" t="s">
        <v>76</v>
      </c>
      <c r="C1145" s="2" t="s">
        <v>77</v>
      </c>
      <c r="D1145" s="2" t="s">
        <v>36</v>
      </c>
      <c r="E1145" s="2" t="s">
        <v>42</v>
      </c>
      <c r="F1145" s="2" t="s">
        <v>32</v>
      </c>
      <c r="G1145" s="2" t="s">
        <v>65</v>
      </c>
      <c r="H1145" s="2">
        <v>173</v>
      </c>
      <c r="I1145" s="3">
        <v>4616</v>
      </c>
      <c r="J1145" s="3">
        <v>798568</v>
      </c>
      <c r="K1145" s="2">
        <v>0</v>
      </c>
      <c r="L1145" s="3">
        <v>798568</v>
      </c>
      <c r="M1145" s="3">
        <v>494794.52</v>
      </c>
      <c r="N1145" s="3">
        <v>303773.48</v>
      </c>
      <c r="O1145" s="4">
        <v>38.04</v>
      </c>
      <c r="P1145" s="2" t="s">
        <v>39</v>
      </c>
    </row>
    <row r="1146" spans="1:16" x14ac:dyDescent="0.3">
      <c r="A1146" s="5">
        <v>1157</v>
      </c>
      <c r="B1146" s="5" t="s">
        <v>23</v>
      </c>
      <c r="C1146" s="5" t="s">
        <v>24</v>
      </c>
      <c r="D1146" s="5" t="s">
        <v>25</v>
      </c>
      <c r="E1146" s="5" t="s">
        <v>42</v>
      </c>
      <c r="F1146" s="5" t="s">
        <v>37</v>
      </c>
      <c r="G1146" s="5" t="s">
        <v>79</v>
      </c>
      <c r="H1146" s="5">
        <v>70</v>
      </c>
      <c r="I1146" s="6">
        <v>1115</v>
      </c>
      <c r="J1146" s="6">
        <v>78050</v>
      </c>
      <c r="K1146" s="5">
        <v>5</v>
      </c>
      <c r="L1146" s="6">
        <v>74147.5</v>
      </c>
      <c r="M1146" s="6">
        <v>51034.26</v>
      </c>
      <c r="N1146" s="6">
        <v>23113.24</v>
      </c>
      <c r="O1146" s="7">
        <v>31.17</v>
      </c>
      <c r="P1146" s="5" t="s">
        <v>61</v>
      </c>
    </row>
    <row r="1147" spans="1:16" x14ac:dyDescent="0.3">
      <c r="A1147" s="5">
        <v>1621</v>
      </c>
      <c r="B1147" s="5" t="s">
        <v>16</v>
      </c>
      <c r="C1147" s="5" t="s">
        <v>17</v>
      </c>
      <c r="D1147" s="5" t="s">
        <v>18</v>
      </c>
      <c r="E1147" s="5" t="s">
        <v>26</v>
      </c>
      <c r="F1147" s="5" t="s">
        <v>48</v>
      </c>
      <c r="G1147" s="5" t="s">
        <v>69</v>
      </c>
      <c r="H1147" s="5">
        <v>91</v>
      </c>
      <c r="I1147" s="6">
        <v>1228</v>
      </c>
      <c r="J1147" s="6">
        <v>111748</v>
      </c>
      <c r="K1147" s="5">
        <v>15</v>
      </c>
      <c r="L1147" s="6">
        <v>94985.8</v>
      </c>
      <c r="M1147" s="6">
        <v>52794.76</v>
      </c>
      <c r="N1147" s="6">
        <v>42191.040000000001</v>
      </c>
      <c r="O1147" s="7">
        <v>44.42</v>
      </c>
      <c r="P1147" s="5" t="s">
        <v>41</v>
      </c>
    </row>
    <row r="1148" spans="1:16" x14ac:dyDescent="0.3">
      <c r="A1148" s="2">
        <v>1313</v>
      </c>
      <c r="B1148" s="2" t="s">
        <v>57</v>
      </c>
      <c r="C1148" s="2" t="s">
        <v>58</v>
      </c>
      <c r="D1148" s="2" t="s">
        <v>56</v>
      </c>
      <c r="E1148" s="2" t="s">
        <v>26</v>
      </c>
      <c r="F1148" s="2" t="s">
        <v>32</v>
      </c>
      <c r="G1148" s="2" t="s">
        <v>81</v>
      </c>
      <c r="H1148" s="2">
        <v>97</v>
      </c>
      <c r="I1148" s="3">
        <v>14754</v>
      </c>
      <c r="J1148" s="3">
        <v>1431138</v>
      </c>
      <c r="K1148" s="2">
        <v>0</v>
      </c>
      <c r="L1148" s="3">
        <v>1431138</v>
      </c>
      <c r="M1148" s="3">
        <v>814029.89</v>
      </c>
      <c r="N1148" s="3">
        <v>617108.11</v>
      </c>
      <c r="O1148" s="4">
        <v>43.12</v>
      </c>
      <c r="P1148" s="2" t="s">
        <v>41</v>
      </c>
    </row>
    <row r="1149" spans="1:16" x14ac:dyDescent="0.3">
      <c r="A1149" s="5">
        <v>1670</v>
      </c>
      <c r="B1149" s="5" t="s">
        <v>16</v>
      </c>
      <c r="C1149" s="5" t="s">
        <v>17</v>
      </c>
      <c r="D1149" s="5" t="s">
        <v>18</v>
      </c>
      <c r="E1149" s="5" t="s">
        <v>42</v>
      </c>
      <c r="F1149" s="5" t="s">
        <v>20</v>
      </c>
      <c r="G1149" s="5" t="s">
        <v>60</v>
      </c>
      <c r="H1149" s="5">
        <v>128</v>
      </c>
      <c r="I1149" s="6">
        <v>86</v>
      </c>
      <c r="J1149" s="6">
        <v>11008</v>
      </c>
      <c r="K1149" s="5">
        <v>0</v>
      </c>
      <c r="L1149" s="6">
        <v>11008</v>
      </c>
      <c r="M1149" s="6">
        <v>6745.97</v>
      </c>
      <c r="N1149" s="6">
        <v>4262.03</v>
      </c>
      <c r="O1149" s="7">
        <v>38.72</v>
      </c>
      <c r="P1149" s="5" t="s">
        <v>29</v>
      </c>
    </row>
    <row r="1150" spans="1:16" x14ac:dyDescent="0.3">
      <c r="A1150" s="2">
        <v>1784</v>
      </c>
      <c r="B1150" s="2" t="s">
        <v>30</v>
      </c>
      <c r="C1150" s="2" t="s">
        <v>31</v>
      </c>
      <c r="D1150" s="2" t="s">
        <v>18</v>
      </c>
      <c r="E1150" s="2" t="s">
        <v>44</v>
      </c>
      <c r="F1150" s="2" t="s">
        <v>37</v>
      </c>
      <c r="G1150" s="2" t="s">
        <v>82</v>
      </c>
      <c r="H1150" s="2">
        <v>53</v>
      </c>
      <c r="I1150" s="3">
        <v>1473</v>
      </c>
      <c r="J1150" s="3">
        <v>78069</v>
      </c>
      <c r="K1150" s="2">
        <v>0</v>
      </c>
      <c r="L1150" s="3">
        <v>78069</v>
      </c>
      <c r="M1150" s="3">
        <v>52243.18</v>
      </c>
      <c r="N1150" s="3">
        <v>25825.82</v>
      </c>
      <c r="O1150" s="4">
        <v>33.08</v>
      </c>
      <c r="P1150" s="2" t="s">
        <v>61</v>
      </c>
    </row>
    <row r="1151" spans="1:16" x14ac:dyDescent="0.3">
      <c r="A1151" s="5">
        <v>1367</v>
      </c>
      <c r="B1151" s="5" t="s">
        <v>57</v>
      </c>
      <c r="C1151" s="5" t="s">
        <v>58</v>
      </c>
      <c r="D1151" s="5" t="s">
        <v>56</v>
      </c>
      <c r="E1151" s="5" t="s">
        <v>42</v>
      </c>
      <c r="F1151" s="5" t="s">
        <v>20</v>
      </c>
      <c r="G1151" s="5" t="s">
        <v>80</v>
      </c>
      <c r="H1151" s="5">
        <v>142</v>
      </c>
      <c r="I1151" s="6">
        <v>74</v>
      </c>
      <c r="J1151" s="6">
        <v>10508</v>
      </c>
      <c r="K1151" s="5">
        <v>20</v>
      </c>
      <c r="L1151" s="6">
        <v>8406.4</v>
      </c>
      <c r="M1151" s="6">
        <v>4967.5600000000004</v>
      </c>
      <c r="N1151" s="6">
        <v>3438.84</v>
      </c>
      <c r="O1151" s="7">
        <v>40.909999999999997</v>
      </c>
      <c r="P1151" s="5" t="s">
        <v>29</v>
      </c>
    </row>
    <row r="1152" spans="1:16" x14ac:dyDescent="0.3">
      <c r="A1152" s="2">
        <v>1055</v>
      </c>
      <c r="B1152" s="2" t="s">
        <v>62</v>
      </c>
      <c r="C1152" s="2" t="s">
        <v>63</v>
      </c>
      <c r="D1152" s="2" t="s">
        <v>25</v>
      </c>
      <c r="E1152" s="2" t="s">
        <v>42</v>
      </c>
      <c r="F1152" s="2" t="s">
        <v>27</v>
      </c>
      <c r="G1152" s="2" t="s">
        <v>84</v>
      </c>
      <c r="H1152" s="2">
        <v>45</v>
      </c>
      <c r="I1152" s="3">
        <v>16169</v>
      </c>
      <c r="J1152" s="3">
        <v>727605</v>
      </c>
      <c r="K1152" s="2">
        <v>0</v>
      </c>
      <c r="L1152" s="3">
        <v>727605</v>
      </c>
      <c r="M1152" s="3">
        <v>429907.04</v>
      </c>
      <c r="N1152" s="3">
        <v>297697.96000000002</v>
      </c>
      <c r="O1152" s="4">
        <v>40.909999999999997</v>
      </c>
      <c r="P1152" s="2" t="s">
        <v>45</v>
      </c>
    </row>
    <row r="1153" spans="1:16" x14ac:dyDescent="0.3">
      <c r="A1153" s="5">
        <v>2021</v>
      </c>
      <c r="B1153" s="5" t="s">
        <v>76</v>
      </c>
      <c r="C1153" s="5" t="s">
        <v>77</v>
      </c>
      <c r="D1153" s="5" t="s">
        <v>36</v>
      </c>
      <c r="E1153" s="5" t="s">
        <v>26</v>
      </c>
      <c r="F1153" s="5" t="s">
        <v>48</v>
      </c>
      <c r="G1153" s="5" t="s">
        <v>69</v>
      </c>
      <c r="H1153" s="5">
        <v>167</v>
      </c>
      <c r="I1153" s="6">
        <v>1250</v>
      </c>
      <c r="J1153" s="6">
        <v>208750</v>
      </c>
      <c r="K1153" s="5">
        <v>20</v>
      </c>
      <c r="L1153" s="6">
        <v>167000</v>
      </c>
      <c r="M1153" s="6">
        <v>103637.17</v>
      </c>
      <c r="N1153" s="6">
        <v>63362.83</v>
      </c>
      <c r="O1153" s="7">
        <v>37.94</v>
      </c>
      <c r="P1153" s="5" t="s">
        <v>45</v>
      </c>
    </row>
    <row r="1154" spans="1:16" x14ac:dyDescent="0.3">
      <c r="A1154" s="2">
        <v>1140</v>
      </c>
      <c r="B1154" s="2" t="s">
        <v>23</v>
      </c>
      <c r="C1154" s="2" t="s">
        <v>24</v>
      </c>
      <c r="D1154" s="2" t="s">
        <v>25</v>
      </c>
      <c r="E1154" s="2" t="s">
        <v>19</v>
      </c>
      <c r="F1154" s="2" t="s">
        <v>32</v>
      </c>
      <c r="G1154" s="2" t="s">
        <v>65</v>
      </c>
      <c r="H1154" s="2">
        <v>23</v>
      </c>
      <c r="I1154" s="3">
        <v>4666</v>
      </c>
      <c r="J1154" s="3">
        <v>107318</v>
      </c>
      <c r="K1154" s="2">
        <v>5</v>
      </c>
      <c r="L1154" s="3">
        <v>101952.1</v>
      </c>
      <c r="M1154" s="3">
        <v>65173.55</v>
      </c>
      <c r="N1154" s="3">
        <v>36778.550000000003</v>
      </c>
      <c r="O1154" s="4">
        <v>36.07</v>
      </c>
      <c r="P1154" s="2" t="s">
        <v>50</v>
      </c>
    </row>
    <row r="1155" spans="1:16" x14ac:dyDescent="0.3">
      <c r="A1155" s="5">
        <v>1109</v>
      </c>
      <c r="B1155" s="5" t="s">
        <v>23</v>
      </c>
      <c r="C1155" s="5" t="s">
        <v>24</v>
      </c>
      <c r="D1155" s="5" t="s">
        <v>25</v>
      </c>
      <c r="E1155" s="5" t="s">
        <v>26</v>
      </c>
      <c r="F1155" s="5" t="s">
        <v>37</v>
      </c>
      <c r="G1155" s="5" t="s">
        <v>82</v>
      </c>
      <c r="H1155" s="5">
        <v>66</v>
      </c>
      <c r="I1155" s="6">
        <v>1565</v>
      </c>
      <c r="J1155" s="6">
        <v>103290</v>
      </c>
      <c r="K1155" s="5">
        <v>0</v>
      </c>
      <c r="L1155" s="6">
        <v>103290</v>
      </c>
      <c r="M1155" s="6">
        <v>65983.17</v>
      </c>
      <c r="N1155" s="6">
        <v>37306.83</v>
      </c>
      <c r="O1155" s="7">
        <v>36.119999999999997</v>
      </c>
      <c r="P1155" s="5" t="s">
        <v>45</v>
      </c>
    </row>
    <row r="1156" spans="1:16" x14ac:dyDescent="0.3">
      <c r="A1156" s="2">
        <v>1204</v>
      </c>
      <c r="B1156" s="2" t="s">
        <v>52</v>
      </c>
      <c r="C1156" s="2" t="s">
        <v>53</v>
      </c>
      <c r="D1156" s="2" t="s">
        <v>25</v>
      </c>
      <c r="E1156" s="2" t="s">
        <v>26</v>
      </c>
      <c r="F1156" s="2" t="s">
        <v>27</v>
      </c>
      <c r="G1156" s="2" t="s">
        <v>66</v>
      </c>
      <c r="H1156" s="2">
        <v>146</v>
      </c>
      <c r="I1156" s="3">
        <v>806</v>
      </c>
      <c r="J1156" s="3">
        <v>117676</v>
      </c>
      <c r="K1156" s="2">
        <v>0</v>
      </c>
      <c r="L1156" s="3">
        <v>117676</v>
      </c>
      <c r="M1156" s="3">
        <v>66662.149999999994</v>
      </c>
      <c r="N1156" s="3">
        <v>51013.85</v>
      </c>
      <c r="O1156" s="4">
        <v>43.35</v>
      </c>
      <c r="P1156" s="2" t="s">
        <v>43</v>
      </c>
    </row>
    <row r="1157" spans="1:16" x14ac:dyDescent="0.3">
      <c r="A1157" s="5">
        <v>1061</v>
      </c>
      <c r="B1157" s="5" t="s">
        <v>62</v>
      </c>
      <c r="C1157" s="5" t="s">
        <v>63</v>
      </c>
      <c r="D1157" s="5" t="s">
        <v>25</v>
      </c>
      <c r="E1157" s="5" t="s">
        <v>42</v>
      </c>
      <c r="F1157" s="5" t="s">
        <v>32</v>
      </c>
      <c r="G1157" s="5" t="s">
        <v>40</v>
      </c>
      <c r="H1157" s="5">
        <v>80</v>
      </c>
      <c r="I1157" s="6">
        <v>16733</v>
      </c>
      <c r="J1157" s="6">
        <v>1338640</v>
      </c>
      <c r="K1157" s="5">
        <v>0</v>
      </c>
      <c r="L1157" s="6">
        <v>1338640</v>
      </c>
      <c r="M1157" s="6">
        <v>744651.07</v>
      </c>
      <c r="N1157" s="6">
        <v>593988.93000000005</v>
      </c>
      <c r="O1157" s="7">
        <v>44.37</v>
      </c>
      <c r="P1157" s="5" t="s">
        <v>41</v>
      </c>
    </row>
    <row r="1158" spans="1:16" x14ac:dyDescent="0.3">
      <c r="A1158" s="2">
        <v>1276</v>
      </c>
      <c r="B1158" s="2" t="s">
        <v>52</v>
      </c>
      <c r="C1158" s="2" t="s">
        <v>53</v>
      </c>
      <c r="D1158" s="2" t="s">
        <v>25</v>
      </c>
      <c r="E1158" s="2" t="s">
        <v>44</v>
      </c>
      <c r="F1158" s="2" t="s">
        <v>27</v>
      </c>
      <c r="G1158" s="2" t="s">
        <v>85</v>
      </c>
      <c r="H1158" s="2">
        <v>70</v>
      </c>
      <c r="I1158" s="3">
        <v>10813</v>
      </c>
      <c r="J1158" s="3">
        <v>756910</v>
      </c>
      <c r="K1158" s="2">
        <v>0</v>
      </c>
      <c r="L1158" s="3">
        <v>756910</v>
      </c>
      <c r="M1158" s="3">
        <v>418458.13</v>
      </c>
      <c r="N1158" s="3">
        <v>338451.87</v>
      </c>
      <c r="O1158" s="4">
        <v>44.71</v>
      </c>
      <c r="P1158" s="2" t="s">
        <v>45</v>
      </c>
    </row>
    <row r="1159" spans="1:16" x14ac:dyDescent="0.3">
      <c r="A1159" s="5">
        <v>1473</v>
      </c>
      <c r="B1159" s="5" t="s">
        <v>54</v>
      </c>
      <c r="C1159" s="5" t="s">
        <v>55</v>
      </c>
      <c r="D1159" s="5" t="s">
        <v>56</v>
      </c>
      <c r="E1159" s="5" t="s">
        <v>42</v>
      </c>
      <c r="F1159" s="5" t="s">
        <v>48</v>
      </c>
      <c r="G1159" s="5" t="s">
        <v>49</v>
      </c>
      <c r="H1159" s="5">
        <v>61</v>
      </c>
      <c r="I1159" s="6">
        <v>833</v>
      </c>
      <c r="J1159" s="6">
        <v>50813</v>
      </c>
      <c r="K1159" s="5">
        <v>0</v>
      </c>
      <c r="L1159" s="6">
        <v>50813</v>
      </c>
      <c r="M1159" s="6">
        <v>32347.67</v>
      </c>
      <c r="N1159" s="6">
        <v>18465.330000000002</v>
      </c>
      <c r="O1159" s="7">
        <v>36.340000000000003</v>
      </c>
      <c r="P1159" s="5" t="s">
        <v>61</v>
      </c>
    </row>
    <row r="1160" spans="1:16" x14ac:dyDescent="0.3">
      <c r="A1160" s="2">
        <v>2019</v>
      </c>
      <c r="B1160" s="2" t="s">
        <v>76</v>
      </c>
      <c r="C1160" s="2" t="s">
        <v>77</v>
      </c>
      <c r="D1160" s="2" t="s">
        <v>36</v>
      </c>
      <c r="E1160" s="2" t="s">
        <v>26</v>
      </c>
      <c r="F1160" s="2" t="s">
        <v>20</v>
      </c>
      <c r="G1160" s="2" t="s">
        <v>68</v>
      </c>
      <c r="H1160" s="2">
        <v>97</v>
      </c>
      <c r="I1160" s="3">
        <v>141</v>
      </c>
      <c r="J1160" s="3">
        <v>13677</v>
      </c>
      <c r="K1160" s="2">
        <v>0</v>
      </c>
      <c r="L1160" s="3">
        <v>13677</v>
      </c>
      <c r="M1160" s="3">
        <v>9519.91</v>
      </c>
      <c r="N1160" s="3">
        <v>4157.09</v>
      </c>
      <c r="O1160" s="4">
        <v>30.39</v>
      </c>
      <c r="P1160" s="2" t="s">
        <v>39</v>
      </c>
    </row>
    <row r="1161" spans="1:16" x14ac:dyDescent="0.3">
      <c r="A1161" s="5">
        <v>2003</v>
      </c>
      <c r="B1161" s="5" t="s">
        <v>76</v>
      </c>
      <c r="C1161" s="5" t="s">
        <v>77</v>
      </c>
      <c r="D1161" s="5" t="s">
        <v>36</v>
      </c>
      <c r="E1161" s="5" t="s">
        <v>26</v>
      </c>
      <c r="F1161" s="5" t="s">
        <v>27</v>
      </c>
      <c r="G1161" s="5" t="s">
        <v>83</v>
      </c>
      <c r="H1161" s="5">
        <v>203</v>
      </c>
      <c r="I1161" s="6">
        <v>5252</v>
      </c>
      <c r="J1161" s="6">
        <v>1066156</v>
      </c>
      <c r="K1161" s="5">
        <v>10</v>
      </c>
      <c r="L1161" s="6">
        <v>959540.4</v>
      </c>
      <c r="M1161" s="6">
        <v>629915.25</v>
      </c>
      <c r="N1161" s="6">
        <v>329625.15000000002</v>
      </c>
      <c r="O1161" s="7">
        <v>34.35</v>
      </c>
      <c r="P1161" s="5" t="s">
        <v>50</v>
      </c>
    </row>
    <row r="1162" spans="1:16" x14ac:dyDescent="0.3">
      <c r="A1162" s="2">
        <v>1514</v>
      </c>
      <c r="B1162" s="2" t="s">
        <v>73</v>
      </c>
      <c r="C1162" s="2" t="s">
        <v>74</v>
      </c>
      <c r="D1162" s="2" t="s">
        <v>56</v>
      </c>
      <c r="E1162" s="2" t="s">
        <v>26</v>
      </c>
      <c r="F1162" s="2" t="s">
        <v>32</v>
      </c>
      <c r="G1162" s="2" t="s">
        <v>33</v>
      </c>
      <c r="H1162" s="2">
        <v>168</v>
      </c>
      <c r="I1162" s="3">
        <v>10232</v>
      </c>
      <c r="J1162" s="3">
        <v>1718976</v>
      </c>
      <c r="K1162" s="2">
        <v>20</v>
      </c>
      <c r="L1162" s="3">
        <v>1375180.8</v>
      </c>
      <c r="M1162" s="3">
        <v>933740.03</v>
      </c>
      <c r="N1162" s="3">
        <v>441440.77</v>
      </c>
      <c r="O1162" s="4">
        <v>32.1</v>
      </c>
      <c r="P1162" s="2" t="s">
        <v>29</v>
      </c>
    </row>
    <row r="1163" spans="1:16" x14ac:dyDescent="0.3">
      <c r="A1163" s="5">
        <v>1251</v>
      </c>
      <c r="B1163" s="5" t="s">
        <v>52</v>
      </c>
      <c r="C1163" s="5" t="s">
        <v>53</v>
      </c>
      <c r="D1163" s="5" t="s">
        <v>25</v>
      </c>
      <c r="E1163" s="5" t="s">
        <v>42</v>
      </c>
      <c r="F1163" s="5" t="s">
        <v>27</v>
      </c>
      <c r="G1163" s="5" t="s">
        <v>85</v>
      </c>
      <c r="H1163" s="5">
        <v>31</v>
      </c>
      <c r="I1163" s="6">
        <v>12958</v>
      </c>
      <c r="J1163" s="6">
        <v>401698</v>
      </c>
      <c r="K1163" s="5">
        <v>10</v>
      </c>
      <c r="L1163" s="6">
        <v>361528.2</v>
      </c>
      <c r="M1163" s="6">
        <v>252114.52</v>
      </c>
      <c r="N1163" s="6">
        <v>109413.68</v>
      </c>
      <c r="O1163" s="7">
        <v>30.26</v>
      </c>
      <c r="P1163" s="5" t="s">
        <v>29</v>
      </c>
    </row>
    <row r="1164" spans="1:16" x14ac:dyDescent="0.3">
      <c r="A1164" s="2">
        <v>1222</v>
      </c>
      <c r="B1164" s="2" t="s">
        <v>52</v>
      </c>
      <c r="C1164" s="2" t="s">
        <v>53</v>
      </c>
      <c r="D1164" s="2" t="s">
        <v>25</v>
      </c>
      <c r="E1164" s="2" t="s">
        <v>26</v>
      </c>
      <c r="F1164" s="2" t="s">
        <v>48</v>
      </c>
      <c r="G1164" s="2" t="s">
        <v>78</v>
      </c>
      <c r="H1164" s="2">
        <v>34</v>
      </c>
      <c r="I1164" s="3">
        <v>573</v>
      </c>
      <c r="J1164" s="3">
        <v>19482</v>
      </c>
      <c r="K1164" s="2">
        <v>5</v>
      </c>
      <c r="L1164" s="3">
        <v>18507.900000000001</v>
      </c>
      <c r="M1164" s="3">
        <v>12420.34</v>
      </c>
      <c r="N1164" s="3">
        <v>6087.56</v>
      </c>
      <c r="O1164" s="4">
        <v>32.89</v>
      </c>
      <c r="P1164" s="2" t="s">
        <v>43</v>
      </c>
    </row>
    <row r="1165" spans="1:16" x14ac:dyDescent="0.3">
      <c r="A1165" s="5">
        <v>1932</v>
      </c>
      <c r="B1165" s="5" t="s">
        <v>34</v>
      </c>
      <c r="C1165" s="5" t="s">
        <v>35</v>
      </c>
      <c r="D1165" s="5" t="s">
        <v>36</v>
      </c>
      <c r="E1165" s="5" t="s">
        <v>19</v>
      </c>
      <c r="F1165" s="5" t="s">
        <v>37</v>
      </c>
      <c r="G1165" s="5" t="s">
        <v>79</v>
      </c>
      <c r="H1165" s="5">
        <v>58</v>
      </c>
      <c r="I1165" s="6">
        <v>1229</v>
      </c>
      <c r="J1165" s="6">
        <v>71282</v>
      </c>
      <c r="K1165" s="5">
        <v>0</v>
      </c>
      <c r="L1165" s="6">
        <v>71282</v>
      </c>
      <c r="M1165" s="6">
        <v>48494.06</v>
      </c>
      <c r="N1165" s="6">
        <v>22787.94</v>
      </c>
      <c r="O1165" s="7">
        <v>31.97</v>
      </c>
      <c r="P1165" s="5" t="s">
        <v>50</v>
      </c>
    </row>
    <row r="1166" spans="1:16" x14ac:dyDescent="0.3">
      <c r="A1166" s="2">
        <v>1302</v>
      </c>
      <c r="B1166" s="2" t="s">
        <v>57</v>
      </c>
      <c r="C1166" s="2" t="s">
        <v>58</v>
      </c>
      <c r="D1166" s="2" t="s">
        <v>56</v>
      </c>
      <c r="E1166" s="2" t="s">
        <v>26</v>
      </c>
      <c r="F1166" s="2" t="s">
        <v>27</v>
      </c>
      <c r="G1166" s="2" t="s">
        <v>28</v>
      </c>
      <c r="H1166" s="2">
        <v>108</v>
      </c>
      <c r="I1166" s="3">
        <v>8286</v>
      </c>
      <c r="J1166" s="3">
        <v>894888</v>
      </c>
      <c r="K1166" s="2">
        <v>10</v>
      </c>
      <c r="L1166" s="3">
        <v>805399.2</v>
      </c>
      <c r="M1166" s="3">
        <v>487912.45</v>
      </c>
      <c r="N1166" s="3">
        <v>317486.75</v>
      </c>
      <c r="O1166" s="4">
        <v>39.42</v>
      </c>
      <c r="P1166" s="2" t="s">
        <v>29</v>
      </c>
    </row>
    <row r="1167" spans="1:16" x14ac:dyDescent="0.3">
      <c r="A1167" s="5">
        <v>1572</v>
      </c>
      <c r="B1167" s="5" t="s">
        <v>73</v>
      </c>
      <c r="C1167" s="5" t="s">
        <v>74</v>
      </c>
      <c r="D1167" s="5" t="s">
        <v>56</v>
      </c>
      <c r="E1167" s="5" t="s">
        <v>42</v>
      </c>
      <c r="F1167" s="5" t="s">
        <v>48</v>
      </c>
      <c r="G1167" s="5" t="s">
        <v>78</v>
      </c>
      <c r="H1167" s="5">
        <v>74</v>
      </c>
      <c r="I1167" s="6">
        <v>608</v>
      </c>
      <c r="J1167" s="6">
        <v>44992</v>
      </c>
      <c r="K1167" s="5">
        <v>10</v>
      </c>
      <c r="L1167" s="6">
        <v>40492.800000000003</v>
      </c>
      <c r="M1167" s="6">
        <v>24630.04</v>
      </c>
      <c r="N1167" s="6">
        <v>15862.76</v>
      </c>
      <c r="O1167" s="7">
        <v>39.17</v>
      </c>
      <c r="P1167" s="5" t="s">
        <v>61</v>
      </c>
    </row>
    <row r="1168" spans="1:16" x14ac:dyDescent="0.3">
      <c r="A1168" s="2">
        <v>2048</v>
      </c>
      <c r="B1168" s="2" t="s">
        <v>76</v>
      </c>
      <c r="C1168" s="2" t="s">
        <v>77</v>
      </c>
      <c r="D1168" s="2" t="s">
        <v>36</v>
      </c>
      <c r="E1168" s="2" t="s">
        <v>19</v>
      </c>
      <c r="F1168" s="2" t="s">
        <v>48</v>
      </c>
      <c r="G1168" s="2" t="s">
        <v>49</v>
      </c>
      <c r="H1168" s="2">
        <v>173</v>
      </c>
      <c r="I1168" s="3">
        <v>758</v>
      </c>
      <c r="J1168" s="3">
        <v>131134</v>
      </c>
      <c r="K1168" s="2">
        <v>5</v>
      </c>
      <c r="L1168" s="3">
        <v>124577.3</v>
      </c>
      <c r="M1168" s="3">
        <v>76194.67</v>
      </c>
      <c r="N1168" s="3">
        <v>48382.63</v>
      </c>
      <c r="O1168" s="4">
        <v>38.840000000000003</v>
      </c>
      <c r="P1168" s="2" t="s">
        <v>41</v>
      </c>
    </row>
    <row r="1169" spans="1:16" x14ac:dyDescent="0.3">
      <c r="A1169" s="5">
        <v>1993</v>
      </c>
      <c r="B1169" s="5" t="s">
        <v>34</v>
      </c>
      <c r="C1169" s="5" t="s">
        <v>35</v>
      </c>
      <c r="D1169" s="5" t="s">
        <v>36</v>
      </c>
      <c r="E1169" s="5" t="s">
        <v>44</v>
      </c>
      <c r="F1169" s="5" t="s">
        <v>20</v>
      </c>
      <c r="G1169" s="5" t="s">
        <v>21</v>
      </c>
      <c r="H1169" s="5">
        <v>88</v>
      </c>
      <c r="I1169" s="6">
        <v>116</v>
      </c>
      <c r="J1169" s="6">
        <v>10208</v>
      </c>
      <c r="K1169" s="5">
        <v>5</v>
      </c>
      <c r="L1169" s="6">
        <v>9697.6</v>
      </c>
      <c r="M1169" s="6">
        <v>5350.11</v>
      </c>
      <c r="N1169" s="6">
        <v>4347.49</v>
      </c>
      <c r="O1169" s="7">
        <v>44.83</v>
      </c>
      <c r="P1169" s="5" t="s">
        <v>45</v>
      </c>
    </row>
    <row r="1170" spans="1:16" x14ac:dyDescent="0.3">
      <c r="A1170" s="2">
        <v>1829</v>
      </c>
      <c r="B1170" s="2" t="s">
        <v>70</v>
      </c>
      <c r="C1170" s="2" t="s">
        <v>71</v>
      </c>
      <c r="D1170" s="2" t="s">
        <v>18</v>
      </c>
      <c r="E1170" s="2" t="s">
        <v>19</v>
      </c>
      <c r="F1170" s="2" t="s">
        <v>27</v>
      </c>
      <c r="G1170" s="2" t="s">
        <v>66</v>
      </c>
      <c r="H1170" s="2">
        <v>110</v>
      </c>
      <c r="I1170" s="3">
        <v>794</v>
      </c>
      <c r="J1170" s="3">
        <v>87340</v>
      </c>
      <c r="K1170" s="2">
        <v>0</v>
      </c>
      <c r="L1170" s="3">
        <v>87340</v>
      </c>
      <c r="M1170" s="3">
        <v>48191.85</v>
      </c>
      <c r="N1170" s="3">
        <v>39148.15</v>
      </c>
      <c r="O1170" s="4">
        <v>44.82</v>
      </c>
      <c r="P1170" s="2" t="s">
        <v>45</v>
      </c>
    </row>
    <row r="1171" spans="1:16" x14ac:dyDescent="0.3">
      <c r="A1171" s="5">
        <v>1975</v>
      </c>
      <c r="B1171" s="5" t="s">
        <v>34</v>
      </c>
      <c r="C1171" s="5" t="s">
        <v>35</v>
      </c>
      <c r="D1171" s="5" t="s">
        <v>36</v>
      </c>
      <c r="E1171" s="5" t="s">
        <v>42</v>
      </c>
      <c r="F1171" s="5" t="s">
        <v>48</v>
      </c>
      <c r="G1171" s="5" t="s">
        <v>72</v>
      </c>
      <c r="H1171" s="5">
        <v>144</v>
      </c>
      <c r="I1171" s="6">
        <v>3823</v>
      </c>
      <c r="J1171" s="6">
        <v>550512</v>
      </c>
      <c r="K1171" s="5">
        <v>5</v>
      </c>
      <c r="L1171" s="6">
        <v>522986.4</v>
      </c>
      <c r="M1171" s="6">
        <v>336786.47</v>
      </c>
      <c r="N1171" s="6">
        <v>186199.93</v>
      </c>
      <c r="O1171" s="7">
        <v>35.6</v>
      </c>
      <c r="P1171" s="5" t="s">
        <v>29</v>
      </c>
    </row>
    <row r="1172" spans="1:16" x14ac:dyDescent="0.3">
      <c r="A1172" s="2">
        <v>1730</v>
      </c>
      <c r="B1172" s="2" t="s">
        <v>30</v>
      </c>
      <c r="C1172" s="2" t="s">
        <v>31</v>
      </c>
      <c r="D1172" s="2" t="s">
        <v>18</v>
      </c>
      <c r="E1172" s="2" t="s">
        <v>19</v>
      </c>
      <c r="F1172" s="2" t="s">
        <v>27</v>
      </c>
      <c r="G1172" s="2" t="s">
        <v>84</v>
      </c>
      <c r="H1172" s="2">
        <v>127</v>
      </c>
      <c r="I1172" s="3">
        <v>13978</v>
      </c>
      <c r="J1172" s="3">
        <v>1775206</v>
      </c>
      <c r="K1172" s="2">
        <v>15</v>
      </c>
      <c r="L1172" s="3">
        <v>1508925.1</v>
      </c>
      <c r="M1172" s="3">
        <v>850719.65</v>
      </c>
      <c r="N1172" s="3">
        <v>658205.44999999995</v>
      </c>
      <c r="O1172" s="4">
        <v>43.62</v>
      </c>
      <c r="P1172" s="2" t="s">
        <v>45</v>
      </c>
    </row>
    <row r="1173" spans="1:16" x14ac:dyDescent="0.3">
      <c r="A1173" s="5">
        <v>1820</v>
      </c>
      <c r="B1173" s="5" t="s">
        <v>70</v>
      </c>
      <c r="C1173" s="5" t="s">
        <v>71</v>
      </c>
      <c r="D1173" s="5" t="s">
        <v>18</v>
      </c>
      <c r="E1173" s="5" t="s">
        <v>26</v>
      </c>
      <c r="F1173" s="5" t="s">
        <v>20</v>
      </c>
      <c r="G1173" s="5" t="s">
        <v>60</v>
      </c>
      <c r="H1173" s="5">
        <v>82</v>
      </c>
      <c r="I1173" s="6">
        <v>94</v>
      </c>
      <c r="J1173" s="6">
        <v>7708</v>
      </c>
      <c r="K1173" s="5">
        <v>10</v>
      </c>
      <c r="L1173" s="6">
        <v>6937.2</v>
      </c>
      <c r="M1173" s="6">
        <v>3894.57</v>
      </c>
      <c r="N1173" s="6">
        <v>3042.63</v>
      </c>
      <c r="O1173" s="7">
        <v>43.86</v>
      </c>
      <c r="P1173" s="5" t="s">
        <v>61</v>
      </c>
    </row>
    <row r="1174" spans="1:16" x14ac:dyDescent="0.3">
      <c r="A1174" s="2">
        <v>1560</v>
      </c>
      <c r="B1174" s="2" t="s">
        <v>73</v>
      </c>
      <c r="C1174" s="2" t="s">
        <v>74</v>
      </c>
      <c r="D1174" s="2" t="s">
        <v>56</v>
      </c>
      <c r="E1174" s="2" t="s">
        <v>42</v>
      </c>
      <c r="F1174" s="2" t="s">
        <v>37</v>
      </c>
      <c r="G1174" s="2" t="s">
        <v>67</v>
      </c>
      <c r="H1174" s="2">
        <v>151</v>
      </c>
      <c r="I1174" s="3">
        <v>1820</v>
      </c>
      <c r="J1174" s="3">
        <v>274820</v>
      </c>
      <c r="K1174" s="2">
        <v>5</v>
      </c>
      <c r="L1174" s="3">
        <v>261079</v>
      </c>
      <c r="M1174" s="3">
        <v>147303.07</v>
      </c>
      <c r="N1174" s="3">
        <v>113775.93</v>
      </c>
      <c r="O1174" s="4">
        <v>43.58</v>
      </c>
      <c r="P1174" s="2" t="s">
        <v>29</v>
      </c>
    </row>
    <row r="1175" spans="1:16" x14ac:dyDescent="0.3">
      <c r="A1175" s="2">
        <v>2192</v>
      </c>
      <c r="B1175" s="2" t="s">
        <v>46</v>
      </c>
      <c r="C1175" s="2" t="s">
        <v>47</v>
      </c>
      <c r="D1175" s="2" t="s">
        <v>36</v>
      </c>
      <c r="E1175" s="2" t="s">
        <v>44</v>
      </c>
      <c r="F1175" s="2" t="s">
        <v>20</v>
      </c>
      <c r="G1175" s="2" t="s">
        <v>80</v>
      </c>
      <c r="H1175" s="2">
        <v>102</v>
      </c>
      <c r="I1175" s="3">
        <v>80</v>
      </c>
      <c r="J1175" s="3">
        <v>8160</v>
      </c>
      <c r="K1175" s="2">
        <v>10</v>
      </c>
      <c r="L1175" s="3">
        <v>7344</v>
      </c>
      <c r="M1175" s="3">
        <v>5053.67</v>
      </c>
      <c r="N1175" s="3">
        <v>2290.33</v>
      </c>
      <c r="O1175" s="4">
        <v>31.19</v>
      </c>
      <c r="P1175" s="2" t="s">
        <v>61</v>
      </c>
    </row>
    <row r="1176" spans="1:16" x14ac:dyDescent="0.3">
      <c r="A1176" s="5">
        <v>1571</v>
      </c>
      <c r="B1176" s="5" t="s">
        <v>73</v>
      </c>
      <c r="C1176" s="5" t="s">
        <v>74</v>
      </c>
      <c r="D1176" s="5" t="s">
        <v>56</v>
      </c>
      <c r="E1176" s="5" t="s">
        <v>42</v>
      </c>
      <c r="F1176" s="5" t="s">
        <v>48</v>
      </c>
      <c r="G1176" s="5" t="s">
        <v>69</v>
      </c>
      <c r="H1176" s="5">
        <v>171</v>
      </c>
      <c r="I1176" s="6">
        <v>1268</v>
      </c>
      <c r="J1176" s="6">
        <v>216828</v>
      </c>
      <c r="K1176" s="5">
        <v>10</v>
      </c>
      <c r="L1176" s="6">
        <v>195145.2</v>
      </c>
      <c r="M1176" s="6">
        <v>121371.08</v>
      </c>
      <c r="N1176" s="6">
        <v>73774.12</v>
      </c>
      <c r="O1176" s="7">
        <v>37.799999999999997</v>
      </c>
      <c r="P1176" s="5" t="s">
        <v>39</v>
      </c>
    </row>
    <row r="1177" spans="1:16" x14ac:dyDescent="0.3">
      <c r="A1177" s="2">
        <v>2023</v>
      </c>
      <c r="B1177" s="2" t="s">
        <v>76</v>
      </c>
      <c r="C1177" s="2" t="s">
        <v>77</v>
      </c>
      <c r="D1177" s="2" t="s">
        <v>36</v>
      </c>
      <c r="E1177" s="2" t="s">
        <v>26</v>
      </c>
      <c r="F1177" s="2" t="s">
        <v>48</v>
      </c>
      <c r="G1177" s="2" t="s">
        <v>49</v>
      </c>
      <c r="H1177" s="2">
        <v>67</v>
      </c>
      <c r="I1177" s="3">
        <v>867</v>
      </c>
      <c r="J1177" s="3">
        <v>58089</v>
      </c>
      <c r="K1177" s="2">
        <v>10</v>
      </c>
      <c r="L1177" s="3">
        <v>52280.1</v>
      </c>
      <c r="M1177" s="3">
        <v>34939.67</v>
      </c>
      <c r="N1177" s="3">
        <v>17340.43</v>
      </c>
      <c r="O1177" s="4">
        <v>33.17</v>
      </c>
      <c r="P1177" s="2" t="s">
        <v>41</v>
      </c>
    </row>
    <row r="1178" spans="1:16" x14ac:dyDescent="0.3">
      <c r="A1178" s="5">
        <v>1870</v>
      </c>
      <c r="B1178" s="5" t="s">
        <v>70</v>
      </c>
      <c r="C1178" s="5" t="s">
        <v>71</v>
      </c>
      <c r="D1178" s="5" t="s">
        <v>18</v>
      </c>
      <c r="E1178" s="5" t="s">
        <v>42</v>
      </c>
      <c r="F1178" s="5" t="s">
        <v>20</v>
      </c>
      <c r="G1178" s="5" t="s">
        <v>60</v>
      </c>
      <c r="H1178" s="5">
        <v>126</v>
      </c>
      <c r="I1178" s="6">
        <v>85</v>
      </c>
      <c r="J1178" s="6">
        <v>10710</v>
      </c>
      <c r="K1178" s="5">
        <v>0</v>
      </c>
      <c r="L1178" s="6">
        <v>10710</v>
      </c>
      <c r="M1178" s="6">
        <v>5914.16</v>
      </c>
      <c r="N1178" s="6">
        <v>4795.84</v>
      </c>
      <c r="O1178" s="7">
        <v>44.78</v>
      </c>
      <c r="P1178" s="5" t="s">
        <v>45</v>
      </c>
    </row>
    <row r="1179" spans="1:16" x14ac:dyDescent="0.3">
      <c r="A1179" s="2">
        <v>1477</v>
      </c>
      <c r="B1179" s="2" t="s">
        <v>54</v>
      </c>
      <c r="C1179" s="2" t="s">
        <v>55</v>
      </c>
      <c r="D1179" s="2" t="s">
        <v>56</v>
      </c>
      <c r="E1179" s="2" t="s">
        <v>44</v>
      </c>
      <c r="F1179" s="2" t="s">
        <v>27</v>
      </c>
      <c r="G1179" s="2" t="s">
        <v>28</v>
      </c>
      <c r="H1179" s="2">
        <v>146</v>
      </c>
      <c r="I1179" s="3">
        <v>8144</v>
      </c>
      <c r="J1179" s="3">
        <v>1189024</v>
      </c>
      <c r="K1179" s="2">
        <v>0</v>
      </c>
      <c r="L1179" s="3">
        <v>1189024</v>
      </c>
      <c r="M1179" s="3">
        <v>709821.01</v>
      </c>
      <c r="N1179" s="3">
        <v>479202.99</v>
      </c>
      <c r="O1179" s="4">
        <v>40.299999999999997</v>
      </c>
      <c r="P1179" s="2" t="s">
        <v>45</v>
      </c>
    </row>
    <row r="1180" spans="1:16" x14ac:dyDescent="0.3">
      <c r="A1180" s="5">
        <v>1252</v>
      </c>
      <c r="B1180" s="5" t="s">
        <v>52</v>
      </c>
      <c r="C1180" s="5" t="s">
        <v>53</v>
      </c>
      <c r="D1180" s="5" t="s">
        <v>25</v>
      </c>
      <c r="E1180" s="5" t="s">
        <v>42</v>
      </c>
      <c r="F1180" s="5" t="s">
        <v>27</v>
      </c>
      <c r="G1180" s="5" t="s">
        <v>28</v>
      </c>
      <c r="H1180" s="5">
        <v>80</v>
      </c>
      <c r="I1180" s="6">
        <v>7476</v>
      </c>
      <c r="J1180" s="6">
        <v>598080</v>
      </c>
      <c r="K1180" s="5">
        <v>5</v>
      </c>
      <c r="L1180" s="6">
        <v>568176</v>
      </c>
      <c r="M1180" s="6">
        <v>372804.85</v>
      </c>
      <c r="N1180" s="6">
        <v>195371.15</v>
      </c>
      <c r="O1180" s="7">
        <v>34.39</v>
      </c>
      <c r="P1180" s="5" t="s">
        <v>39</v>
      </c>
    </row>
    <row r="1181" spans="1:16" x14ac:dyDescent="0.3">
      <c r="A1181" s="2">
        <v>1828</v>
      </c>
      <c r="B1181" s="2" t="s">
        <v>70</v>
      </c>
      <c r="C1181" s="2" t="s">
        <v>71</v>
      </c>
      <c r="D1181" s="2" t="s">
        <v>18</v>
      </c>
      <c r="E1181" s="2" t="s">
        <v>19</v>
      </c>
      <c r="F1181" s="2" t="s">
        <v>27</v>
      </c>
      <c r="G1181" s="2" t="s">
        <v>83</v>
      </c>
      <c r="H1181" s="2">
        <v>85</v>
      </c>
      <c r="I1181" s="3">
        <v>4894</v>
      </c>
      <c r="J1181" s="3">
        <v>415990</v>
      </c>
      <c r="K1181" s="2">
        <v>0</v>
      </c>
      <c r="L1181" s="3">
        <v>415990</v>
      </c>
      <c r="M1181" s="3">
        <v>257322.85</v>
      </c>
      <c r="N1181" s="3">
        <v>158667.15</v>
      </c>
      <c r="O1181" s="4">
        <v>38.14</v>
      </c>
      <c r="P1181" s="2" t="s">
        <v>29</v>
      </c>
    </row>
    <row r="1182" spans="1:16" x14ac:dyDescent="0.3">
      <c r="A1182" s="2">
        <v>1411</v>
      </c>
      <c r="B1182" s="2" t="s">
        <v>54</v>
      </c>
      <c r="C1182" s="2" t="s">
        <v>55</v>
      </c>
      <c r="D1182" s="2" t="s">
        <v>56</v>
      </c>
      <c r="E1182" s="2" t="s">
        <v>26</v>
      </c>
      <c r="F1182" s="2" t="s">
        <v>32</v>
      </c>
      <c r="G1182" s="2" t="s">
        <v>40</v>
      </c>
      <c r="H1182" s="2">
        <v>93</v>
      </c>
      <c r="I1182" s="3">
        <v>18535</v>
      </c>
      <c r="J1182" s="3">
        <v>1723755</v>
      </c>
      <c r="K1182" s="2">
        <v>5</v>
      </c>
      <c r="L1182" s="3">
        <v>1637567.25</v>
      </c>
      <c r="M1182" s="3">
        <v>964910.7</v>
      </c>
      <c r="N1182" s="3">
        <v>672656.55</v>
      </c>
      <c r="O1182" s="4">
        <v>41.08</v>
      </c>
      <c r="P1182" s="2" t="s">
        <v>39</v>
      </c>
    </row>
    <row r="1183" spans="1:16" x14ac:dyDescent="0.3">
      <c r="A1183" s="5">
        <v>1694</v>
      </c>
      <c r="B1183" s="5" t="s">
        <v>16</v>
      </c>
      <c r="C1183" s="5" t="s">
        <v>17</v>
      </c>
      <c r="D1183" s="5" t="s">
        <v>18</v>
      </c>
      <c r="E1183" s="5" t="s">
        <v>44</v>
      </c>
      <c r="F1183" s="5" t="s">
        <v>20</v>
      </c>
      <c r="G1183" s="5" t="s">
        <v>68</v>
      </c>
      <c r="H1183" s="5">
        <v>34</v>
      </c>
      <c r="I1183" s="6">
        <v>148</v>
      </c>
      <c r="J1183" s="6">
        <v>5032</v>
      </c>
      <c r="K1183" s="5">
        <v>20</v>
      </c>
      <c r="L1183" s="6">
        <v>4025.6</v>
      </c>
      <c r="M1183" s="6">
        <v>2267.23</v>
      </c>
      <c r="N1183" s="6">
        <v>1758.37</v>
      </c>
      <c r="O1183" s="7">
        <v>43.68</v>
      </c>
      <c r="P1183" s="5" t="s">
        <v>39</v>
      </c>
    </row>
    <row r="1184" spans="1:16" x14ac:dyDescent="0.3">
      <c r="A1184" s="2">
        <v>1408</v>
      </c>
      <c r="B1184" s="2" t="s">
        <v>54</v>
      </c>
      <c r="C1184" s="2" t="s">
        <v>55</v>
      </c>
      <c r="D1184" s="2" t="s">
        <v>56</v>
      </c>
      <c r="E1184" s="2" t="s">
        <v>26</v>
      </c>
      <c r="F1184" s="2" t="s">
        <v>37</v>
      </c>
      <c r="G1184" s="2" t="s">
        <v>38</v>
      </c>
      <c r="H1184" s="2">
        <v>68</v>
      </c>
      <c r="I1184" s="3">
        <v>2164</v>
      </c>
      <c r="J1184" s="3">
        <v>147152</v>
      </c>
      <c r="K1184" s="2">
        <v>5</v>
      </c>
      <c r="L1184" s="3">
        <v>139794.4</v>
      </c>
      <c r="M1184" s="3">
        <v>96538.37</v>
      </c>
      <c r="N1184" s="3">
        <v>43256.03</v>
      </c>
      <c r="O1184" s="4">
        <v>30.94</v>
      </c>
      <c r="P1184" s="2" t="s">
        <v>29</v>
      </c>
    </row>
    <row r="1185" spans="1:16" x14ac:dyDescent="0.3">
      <c r="A1185" s="5">
        <v>1745</v>
      </c>
      <c r="B1185" s="5" t="s">
        <v>30</v>
      </c>
      <c r="C1185" s="5" t="s">
        <v>31</v>
      </c>
      <c r="D1185" s="5" t="s">
        <v>18</v>
      </c>
      <c r="E1185" s="5" t="s">
        <v>19</v>
      </c>
      <c r="F1185" s="5" t="s">
        <v>20</v>
      </c>
      <c r="G1185" s="5" t="s">
        <v>60</v>
      </c>
      <c r="H1185" s="5">
        <v>60</v>
      </c>
      <c r="I1185" s="6">
        <v>93</v>
      </c>
      <c r="J1185" s="6">
        <v>5580</v>
      </c>
      <c r="K1185" s="5">
        <v>0</v>
      </c>
      <c r="L1185" s="6">
        <v>5580</v>
      </c>
      <c r="M1185" s="6">
        <v>3304.63</v>
      </c>
      <c r="N1185" s="6">
        <v>2275.37</v>
      </c>
      <c r="O1185" s="7">
        <v>40.78</v>
      </c>
      <c r="P1185" s="5" t="s">
        <v>39</v>
      </c>
    </row>
    <row r="1186" spans="1:16" x14ac:dyDescent="0.3">
      <c r="A1186" s="2">
        <v>1133</v>
      </c>
      <c r="B1186" s="2" t="s">
        <v>23</v>
      </c>
      <c r="C1186" s="2" t="s">
        <v>24</v>
      </c>
      <c r="D1186" s="2" t="s">
        <v>25</v>
      </c>
      <c r="E1186" s="2" t="s">
        <v>19</v>
      </c>
      <c r="F1186" s="2" t="s">
        <v>37</v>
      </c>
      <c r="G1186" s="2" t="s">
        <v>38</v>
      </c>
      <c r="H1186" s="2">
        <v>97</v>
      </c>
      <c r="I1186" s="3">
        <v>1952</v>
      </c>
      <c r="J1186" s="3">
        <v>189344</v>
      </c>
      <c r="K1186" s="2">
        <v>20</v>
      </c>
      <c r="L1186" s="3">
        <v>151475.20000000001</v>
      </c>
      <c r="M1186" s="3">
        <v>90067.6</v>
      </c>
      <c r="N1186" s="3">
        <v>61407.6</v>
      </c>
      <c r="O1186" s="4">
        <v>40.54</v>
      </c>
      <c r="P1186" s="2" t="s">
        <v>22</v>
      </c>
    </row>
    <row r="1187" spans="1:16" x14ac:dyDescent="0.3">
      <c r="A1187" s="5">
        <v>1346</v>
      </c>
      <c r="B1187" s="5" t="s">
        <v>57</v>
      </c>
      <c r="C1187" s="5" t="s">
        <v>58</v>
      </c>
      <c r="D1187" s="5" t="s">
        <v>56</v>
      </c>
      <c r="E1187" s="5" t="s">
        <v>19</v>
      </c>
      <c r="F1187" s="5" t="s">
        <v>48</v>
      </c>
      <c r="G1187" s="5" t="s">
        <v>69</v>
      </c>
      <c r="H1187" s="5">
        <v>22</v>
      </c>
      <c r="I1187" s="6">
        <v>1308</v>
      </c>
      <c r="J1187" s="6">
        <v>28776</v>
      </c>
      <c r="K1187" s="5">
        <v>0</v>
      </c>
      <c r="L1187" s="6">
        <v>28776</v>
      </c>
      <c r="M1187" s="6">
        <v>16650.3</v>
      </c>
      <c r="N1187" s="6">
        <v>12125.7</v>
      </c>
      <c r="O1187" s="7">
        <v>42.14</v>
      </c>
      <c r="P1187" s="5" t="s">
        <v>39</v>
      </c>
    </row>
    <row r="1188" spans="1:16" x14ac:dyDescent="0.3">
      <c r="A1188" s="2">
        <v>1209</v>
      </c>
      <c r="B1188" s="2" t="s">
        <v>52</v>
      </c>
      <c r="C1188" s="2" t="s">
        <v>53</v>
      </c>
      <c r="D1188" s="2" t="s">
        <v>25</v>
      </c>
      <c r="E1188" s="2" t="s">
        <v>26</v>
      </c>
      <c r="F1188" s="2" t="s">
        <v>37</v>
      </c>
      <c r="G1188" s="2" t="s">
        <v>82</v>
      </c>
      <c r="H1188" s="2">
        <v>27</v>
      </c>
      <c r="I1188" s="3">
        <v>1494</v>
      </c>
      <c r="J1188" s="3">
        <v>40338</v>
      </c>
      <c r="K1188" s="2">
        <v>15</v>
      </c>
      <c r="L1188" s="3">
        <v>34287.300000000003</v>
      </c>
      <c r="M1188" s="3">
        <v>21050.38</v>
      </c>
      <c r="N1188" s="3">
        <v>13236.92</v>
      </c>
      <c r="O1188" s="4">
        <v>38.61</v>
      </c>
      <c r="P1188" s="2" t="s">
        <v>29</v>
      </c>
    </row>
    <row r="1189" spans="1:16" x14ac:dyDescent="0.3">
      <c r="A1189" s="2">
        <v>1821</v>
      </c>
      <c r="B1189" s="2" t="s">
        <v>70</v>
      </c>
      <c r="C1189" s="2" t="s">
        <v>71</v>
      </c>
      <c r="D1189" s="2" t="s">
        <v>18</v>
      </c>
      <c r="E1189" s="2" t="s">
        <v>26</v>
      </c>
      <c r="F1189" s="2" t="s">
        <v>48</v>
      </c>
      <c r="G1189" s="2" t="s">
        <v>69</v>
      </c>
      <c r="H1189" s="2">
        <v>94</v>
      </c>
      <c r="I1189" s="3">
        <v>1165</v>
      </c>
      <c r="J1189" s="3">
        <v>109510</v>
      </c>
      <c r="K1189" s="2">
        <v>5</v>
      </c>
      <c r="L1189" s="3">
        <v>104034.5</v>
      </c>
      <c r="M1189" s="3">
        <v>60071.360000000001</v>
      </c>
      <c r="N1189" s="3">
        <v>43963.14</v>
      </c>
      <c r="O1189" s="4">
        <v>42.26</v>
      </c>
      <c r="P1189" s="2" t="s">
        <v>45</v>
      </c>
    </row>
    <row r="1190" spans="1:16" x14ac:dyDescent="0.3">
      <c r="A1190" s="5">
        <v>1809</v>
      </c>
      <c r="B1190" s="5" t="s">
        <v>70</v>
      </c>
      <c r="C1190" s="5" t="s">
        <v>71</v>
      </c>
      <c r="D1190" s="5" t="s">
        <v>18</v>
      </c>
      <c r="E1190" s="5" t="s">
        <v>26</v>
      </c>
      <c r="F1190" s="5" t="s">
        <v>37</v>
      </c>
      <c r="G1190" s="5" t="s">
        <v>82</v>
      </c>
      <c r="H1190" s="5">
        <v>169</v>
      </c>
      <c r="I1190" s="6">
        <v>1376</v>
      </c>
      <c r="J1190" s="6">
        <v>232544</v>
      </c>
      <c r="K1190" s="5">
        <v>5</v>
      </c>
      <c r="L1190" s="6">
        <v>220916.8</v>
      </c>
      <c r="M1190" s="6">
        <v>147340.67000000001</v>
      </c>
      <c r="N1190" s="6">
        <v>73576.13</v>
      </c>
      <c r="O1190" s="7">
        <v>33.299999999999997</v>
      </c>
      <c r="P1190" s="5" t="s">
        <v>41</v>
      </c>
    </row>
    <row r="1191" spans="1:16" x14ac:dyDescent="0.3">
      <c r="A1191" s="2">
        <v>1294</v>
      </c>
      <c r="B1191" s="2" t="s">
        <v>52</v>
      </c>
      <c r="C1191" s="2" t="s">
        <v>53</v>
      </c>
      <c r="D1191" s="2" t="s">
        <v>25</v>
      </c>
      <c r="E1191" s="2" t="s">
        <v>44</v>
      </c>
      <c r="F1191" s="2" t="s">
        <v>20</v>
      </c>
      <c r="G1191" s="2" t="s">
        <v>68</v>
      </c>
      <c r="H1191" s="2">
        <v>60</v>
      </c>
      <c r="I1191" s="3">
        <v>159</v>
      </c>
      <c r="J1191" s="3">
        <v>9540</v>
      </c>
      <c r="K1191" s="2">
        <v>5</v>
      </c>
      <c r="L1191" s="3">
        <v>9063</v>
      </c>
      <c r="M1191" s="3">
        <v>6073.77</v>
      </c>
      <c r="N1191" s="3">
        <v>2989.23</v>
      </c>
      <c r="O1191" s="4">
        <v>32.979999999999997</v>
      </c>
      <c r="P1191" s="2" t="s">
        <v>22</v>
      </c>
    </row>
    <row r="1192" spans="1:16" x14ac:dyDescent="0.3">
      <c r="A1192" s="5">
        <v>1245</v>
      </c>
      <c r="B1192" s="5" t="s">
        <v>52</v>
      </c>
      <c r="C1192" s="5" t="s">
        <v>53</v>
      </c>
      <c r="D1192" s="5" t="s">
        <v>25</v>
      </c>
      <c r="E1192" s="5" t="s">
        <v>19</v>
      </c>
      <c r="F1192" s="5" t="s">
        <v>20</v>
      </c>
      <c r="G1192" s="5" t="s">
        <v>60</v>
      </c>
      <c r="H1192" s="5">
        <v>113</v>
      </c>
      <c r="I1192" s="6">
        <v>92</v>
      </c>
      <c r="J1192" s="6">
        <v>10396</v>
      </c>
      <c r="K1192" s="5">
        <v>0</v>
      </c>
      <c r="L1192" s="6">
        <v>10396</v>
      </c>
      <c r="M1192" s="6">
        <v>6403.57</v>
      </c>
      <c r="N1192" s="6">
        <v>3992.43</v>
      </c>
      <c r="O1192" s="7">
        <v>38.4</v>
      </c>
      <c r="P1192" s="5" t="s">
        <v>39</v>
      </c>
    </row>
    <row r="1193" spans="1:16" x14ac:dyDescent="0.3">
      <c r="A1193" s="2">
        <v>1175</v>
      </c>
      <c r="B1193" s="2" t="s">
        <v>23</v>
      </c>
      <c r="C1193" s="2" t="s">
        <v>24</v>
      </c>
      <c r="D1193" s="2" t="s">
        <v>25</v>
      </c>
      <c r="E1193" s="2" t="s">
        <v>42</v>
      </c>
      <c r="F1193" s="2" t="s">
        <v>48</v>
      </c>
      <c r="G1193" s="2" t="s">
        <v>72</v>
      </c>
      <c r="H1193" s="2">
        <v>71</v>
      </c>
      <c r="I1193" s="3">
        <v>3617</v>
      </c>
      <c r="J1193" s="3">
        <v>256807</v>
      </c>
      <c r="K1193" s="2">
        <v>20</v>
      </c>
      <c r="L1193" s="3">
        <v>205445.6</v>
      </c>
      <c r="M1193" s="3">
        <v>140767.51</v>
      </c>
      <c r="N1193" s="3">
        <v>64678.09</v>
      </c>
      <c r="O1193" s="4">
        <v>31.48</v>
      </c>
      <c r="P1193" s="2" t="s">
        <v>61</v>
      </c>
    </row>
    <row r="1194" spans="1:16" x14ac:dyDescent="0.3">
      <c r="A1194" s="5">
        <v>2071</v>
      </c>
      <c r="B1194" s="5" t="s">
        <v>76</v>
      </c>
      <c r="C1194" s="5" t="s">
        <v>77</v>
      </c>
      <c r="D1194" s="5" t="s">
        <v>36</v>
      </c>
      <c r="E1194" s="5" t="s">
        <v>42</v>
      </c>
      <c r="F1194" s="5" t="s">
        <v>48</v>
      </c>
      <c r="G1194" s="5" t="s">
        <v>69</v>
      </c>
      <c r="H1194" s="5">
        <v>169</v>
      </c>
      <c r="I1194" s="6">
        <v>1221</v>
      </c>
      <c r="J1194" s="6">
        <v>206349</v>
      </c>
      <c r="K1194" s="5">
        <v>5</v>
      </c>
      <c r="L1194" s="6">
        <v>196031.55</v>
      </c>
      <c r="M1194" s="6">
        <v>123106.41</v>
      </c>
      <c r="N1194" s="6">
        <v>72925.14</v>
      </c>
      <c r="O1194" s="7">
        <v>37.200000000000003</v>
      </c>
      <c r="P1194" s="5" t="s">
        <v>61</v>
      </c>
    </row>
    <row r="1195" spans="1:16" x14ac:dyDescent="0.3">
      <c r="A1195" s="2">
        <v>1898</v>
      </c>
      <c r="B1195" s="2" t="s">
        <v>70</v>
      </c>
      <c r="C1195" s="2" t="s">
        <v>71</v>
      </c>
      <c r="D1195" s="2" t="s">
        <v>18</v>
      </c>
      <c r="E1195" s="2" t="s">
        <v>44</v>
      </c>
      <c r="F1195" s="2" t="s">
        <v>48</v>
      </c>
      <c r="G1195" s="2" t="s">
        <v>49</v>
      </c>
      <c r="H1195" s="2">
        <v>27</v>
      </c>
      <c r="I1195" s="3">
        <v>755</v>
      </c>
      <c r="J1195" s="3">
        <v>20385</v>
      </c>
      <c r="K1195" s="2">
        <v>0</v>
      </c>
      <c r="L1195" s="3">
        <v>20385</v>
      </c>
      <c r="M1195" s="3">
        <v>11251.76</v>
      </c>
      <c r="N1195" s="3">
        <v>9133.24</v>
      </c>
      <c r="O1195" s="4">
        <v>44.8</v>
      </c>
      <c r="P1195" s="2" t="s">
        <v>45</v>
      </c>
    </row>
    <row r="1196" spans="1:16" x14ac:dyDescent="0.3">
      <c r="A1196" s="5">
        <v>1812</v>
      </c>
      <c r="B1196" s="5" t="s">
        <v>70</v>
      </c>
      <c r="C1196" s="5" t="s">
        <v>71</v>
      </c>
      <c r="D1196" s="5" t="s">
        <v>18</v>
      </c>
      <c r="E1196" s="5" t="s">
        <v>26</v>
      </c>
      <c r="F1196" s="5" t="s">
        <v>32</v>
      </c>
      <c r="G1196" s="5" t="s">
        <v>75</v>
      </c>
      <c r="H1196" s="5">
        <v>57</v>
      </c>
      <c r="I1196" s="6">
        <v>13111</v>
      </c>
      <c r="J1196" s="6">
        <v>747327</v>
      </c>
      <c r="K1196" s="5">
        <v>20</v>
      </c>
      <c r="L1196" s="6">
        <v>597861.6</v>
      </c>
      <c r="M1196" s="6">
        <v>412199.91</v>
      </c>
      <c r="N1196" s="6">
        <v>185661.69</v>
      </c>
      <c r="O1196" s="7">
        <v>31.05</v>
      </c>
      <c r="P1196" s="5" t="s">
        <v>43</v>
      </c>
    </row>
    <row r="1197" spans="1:16" x14ac:dyDescent="0.3">
      <c r="A1197" s="2">
        <v>1216</v>
      </c>
      <c r="B1197" s="2" t="s">
        <v>52</v>
      </c>
      <c r="C1197" s="2" t="s">
        <v>53</v>
      </c>
      <c r="D1197" s="2" t="s">
        <v>25</v>
      </c>
      <c r="E1197" s="2" t="s">
        <v>26</v>
      </c>
      <c r="F1197" s="2" t="s">
        <v>20</v>
      </c>
      <c r="G1197" s="2" t="s">
        <v>64</v>
      </c>
      <c r="H1197" s="2">
        <v>108</v>
      </c>
      <c r="I1197" s="3">
        <v>199</v>
      </c>
      <c r="J1197" s="3">
        <v>21492</v>
      </c>
      <c r="K1197" s="2">
        <v>0</v>
      </c>
      <c r="L1197" s="3">
        <v>21492</v>
      </c>
      <c r="M1197" s="3">
        <v>14502.07</v>
      </c>
      <c r="N1197" s="3">
        <v>6989.93</v>
      </c>
      <c r="O1197" s="4">
        <v>32.520000000000003</v>
      </c>
      <c r="P1197" s="2" t="s">
        <v>29</v>
      </c>
    </row>
    <row r="1198" spans="1:16" x14ac:dyDescent="0.3">
      <c r="A1198" s="5">
        <v>2007</v>
      </c>
      <c r="B1198" s="5" t="s">
        <v>76</v>
      </c>
      <c r="C1198" s="5" t="s">
        <v>77</v>
      </c>
      <c r="D1198" s="5" t="s">
        <v>36</v>
      </c>
      <c r="E1198" s="5" t="s">
        <v>26</v>
      </c>
      <c r="F1198" s="5" t="s">
        <v>37</v>
      </c>
      <c r="G1198" s="5" t="s">
        <v>79</v>
      </c>
      <c r="H1198" s="5">
        <v>211</v>
      </c>
      <c r="I1198" s="6">
        <v>1117</v>
      </c>
      <c r="J1198" s="6">
        <v>235687</v>
      </c>
      <c r="K1198" s="5">
        <v>10</v>
      </c>
      <c r="L1198" s="6">
        <v>212118.3</v>
      </c>
      <c r="M1198" s="6">
        <v>146053.1</v>
      </c>
      <c r="N1198" s="6">
        <v>66065.2</v>
      </c>
      <c r="O1198" s="7">
        <v>31.15</v>
      </c>
      <c r="P1198" s="5" t="s">
        <v>50</v>
      </c>
    </row>
    <row r="1199" spans="1:16" x14ac:dyDescent="0.3">
      <c r="A1199" s="2">
        <v>1027</v>
      </c>
      <c r="B1199" s="2" t="s">
        <v>62</v>
      </c>
      <c r="C1199" s="2" t="s">
        <v>63</v>
      </c>
      <c r="D1199" s="2" t="s">
        <v>25</v>
      </c>
      <c r="E1199" s="2" t="s">
        <v>19</v>
      </c>
      <c r="F1199" s="2" t="s">
        <v>27</v>
      </c>
      <c r="G1199" s="2" t="s">
        <v>28</v>
      </c>
      <c r="H1199" s="2">
        <v>17</v>
      </c>
      <c r="I1199" s="3">
        <v>8687</v>
      </c>
      <c r="J1199" s="3">
        <v>147679</v>
      </c>
      <c r="K1199" s="2">
        <v>5</v>
      </c>
      <c r="L1199" s="3">
        <v>140295.04999999999</v>
      </c>
      <c r="M1199" s="3">
        <v>82201.37</v>
      </c>
      <c r="N1199" s="3">
        <v>58093.68</v>
      </c>
      <c r="O1199" s="4">
        <v>41.41</v>
      </c>
      <c r="P1199" s="2" t="s">
        <v>45</v>
      </c>
    </row>
    <row r="1200" spans="1:16" x14ac:dyDescent="0.3">
      <c r="A1200" s="5">
        <v>1368</v>
      </c>
      <c r="B1200" s="5" t="s">
        <v>57</v>
      </c>
      <c r="C1200" s="5" t="s">
        <v>58</v>
      </c>
      <c r="D1200" s="5" t="s">
        <v>56</v>
      </c>
      <c r="E1200" s="5" t="s">
        <v>42</v>
      </c>
      <c r="F1200" s="5" t="s">
        <v>20</v>
      </c>
      <c r="G1200" s="5" t="s">
        <v>21</v>
      </c>
      <c r="H1200" s="5">
        <v>66</v>
      </c>
      <c r="I1200" s="6">
        <v>126</v>
      </c>
      <c r="J1200" s="6">
        <v>8316</v>
      </c>
      <c r="K1200" s="5">
        <v>5</v>
      </c>
      <c r="L1200" s="6">
        <v>7900.2</v>
      </c>
      <c r="M1200" s="6">
        <v>5196.67</v>
      </c>
      <c r="N1200" s="6">
        <v>2703.53</v>
      </c>
      <c r="O1200" s="7">
        <v>34.22</v>
      </c>
      <c r="P1200" s="5" t="s">
        <v>43</v>
      </c>
    </row>
    <row r="1201" spans="1:16" x14ac:dyDescent="0.3">
      <c r="A1201" s="2">
        <v>1753</v>
      </c>
      <c r="B1201" s="2" t="s">
        <v>30</v>
      </c>
      <c r="C1201" s="2" t="s">
        <v>31</v>
      </c>
      <c r="D1201" s="2" t="s">
        <v>18</v>
      </c>
      <c r="E1201" s="2" t="s">
        <v>42</v>
      </c>
      <c r="F1201" s="2" t="s">
        <v>27</v>
      </c>
      <c r="G1201" s="2" t="s">
        <v>83</v>
      </c>
      <c r="H1201" s="2">
        <v>150</v>
      </c>
      <c r="I1201" s="3">
        <v>5432</v>
      </c>
      <c r="J1201" s="3">
        <v>814800</v>
      </c>
      <c r="K1201" s="2">
        <v>20</v>
      </c>
      <c r="L1201" s="3">
        <v>651840</v>
      </c>
      <c r="M1201" s="3">
        <v>421545.7</v>
      </c>
      <c r="N1201" s="3">
        <v>230294.3</v>
      </c>
      <c r="O1201" s="4">
        <v>35.33</v>
      </c>
      <c r="P1201" s="2" t="s">
        <v>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2BF7B-61BC-4B7A-9FB3-3EB2BDE19312}">
  <dimension ref="A1:U44"/>
  <sheetViews>
    <sheetView showGridLines="0" tabSelected="1" zoomScale="46" zoomScaleNormal="113" workbookViewId="0">
      <selection activeCell="Y10" sqref="Y10"/>
    </sheetView>
  </sheetViews>
  <sheetFormatPr defaultRowHeight="14.4" x14ac:dyDescent="0.3"/>
  <cols>
    <col min="1" max="1" width="8.88671875" customWidth="1"/>
  </cols>
  <sheetData>
    <row r="1" spans="1:21" ht="14.4" customHeight="1" x14ac:dyDescent="0.3">
      <c r="A1" s="20" t="s">
        <v>93</v>
      </c>
      <c r="B1" s="20"/>
      <c r="C1" s="20"/>
      <c r="D1" s="20"/>
      <c r="E1" s="20"/>
      <c r="F1" s="20"/>
      <c r="G1" s="20"/>
      <c r="H1" s="20"/>
      <c r="I1" s="20"/>
      <c r="J1" s="20"/>
      <c r="K1" s="20"/>
      <c r="L1" s="20"/>
      <c r="M1" s="20"/>
      <c r="N1" s="20"/>
      <c r="O1" s="20"/>
      <c r="P1" s="20"/>
      <c r="Q1" s="20"/>
      <c r="R1" s="20"/>
      <c r="S1" s="20"/>
      <c r="T1" s="20"/>
      <c r="U1" s="20"/>
    </row>
    <row r="2" spans="1:21" ht="14.4" customHeight="1" x14ac:dyDescent="0.3">
      <c r="A2" s="20"/>
      <c r="B2" s="20"/>
      <c r="C2" s="20"/>
      <c r="D2" s="20"/>
      <c r="E2" s="20"/>
      <c r="F2" s="20"/>
      <c r="G2" s="20"/>
      <c r="H2" s="20"/>
      <c r="I2" s="20"/>
      <c r="J2" s="20"/>
      <c r="K2" s="20"/>
      <c r="L2" s="20"/>
      <c r="M2" s="20"/>
      <c r="N2" s="20"/>
      <c r="O2" s="20"/>
      <c r="P2" s="20"/>
      <c r="Q2" s="20"/>
      <c r="R2" s="20"/>
      <c r="S2" s="20"/>
      <c r="T2" s="20"/>
      <c r="U2" s="20"/>
    </row>
    <row r="3" spans="1:21" ht="14.4" customHeight="1" x14ac:dyDescent="0.3">
      <c r="A3" s="20"/>
      <c r="B3" s="20"/>
      <c r="C3" s="20"/>
      <c r="D3" s="20"/>
      <c r="E3" s="20"/>
      <c r="F3" s="20"/>
      <c r="G3" s="20"/>
      <c r="H3" s="20"/>
      <c r="I3" s="20"/>
      <c r="J3" s="20"/>
      <c r="K3" s="20"/>
      <c r="L3" s="20"/>
      <c r="M3" s="20"/>
      <c r="N3" s="20"/>
      <c r="O3" s="20"/>
      <c r="P3" s="20"/>
      <c r="Q3" s="20"/>
      <c r="R3" s="20"/>
      <c r="S3" s="20"/>
      <c r="T3" s="20"/>
      <c r="U3" s="20"/>
    </row>
    <row r="4" spans="1:21" ht="7.95" customHeight="1" thickBot="1" x14ac:dyDescent="0.35">
      <c r="A4" s="14"/>
      <c r="B4" s="14"/>
      <c r="C4" s="14"/>
      <c r="D4" s="14"/>
      <c r="E4" s="14"/>
      <c r="F4" s="14"/>
      <c r="G4" s="14"/>
      <c r="H4" s="14"/>
      <c r="I4" s="14"/>
      <c r="J4" s="14"/>
      <c r="K4" s="14"/>
      <c r="L4" s="14"/>
      <c r="M4" s="14"/>
      <c r="N4" s="14"/>
      <c r="O4" s="14"/>
      <c r="P4" s="14"/>
      <c r="Q4" s="14"/>
      <c r="R4" s="14"/>
      <c r="S4" s="14"/>
      <c r="T4" s="14"/>
      <c r="U4" s="14"/>
    </row>
    <row r="5" spans="1:21" x14ac:dyDescent="0.3">
      <c r="A5" s="13"/>
      <c r="B5" s="23" t="s">
        <v>94</v>
      </c>
      <c r="C5" s="24"/>
      <c r="D5" s="24"/>
      <c r="E5" s="24"/>
      <c r="F5" s="13"/>
      <c r="G5" s="31" t="s">
        <v>95</v>
      </c>
      <c r="H5" s="32"/>
      <c r="I5" s="32"/>
      <c r="J5" s="33"/>
      <c r="K5" s="13"/>
      <c r="L5" s="43" t="s">
        <v>96</v>
      </c>
      <c r="M5" s="44"/>
      <c r="N5" s="44"/>
      <c r="O5" s="45"/>
      <c r="P5" s="13"/>
      <c r="Q5" s="55" t="s">
        <v>97</v>
      </c>
      <c r="R5" s="56"/>
      <c r="S5" s="56"/>
      <c r="T5" s="57"/>
      <c r="U5" s="13"/>
    </row>
    <row r="6" spans="1:21" x14ac:dyDescent="0.3">
      <c r="A6" s="13"/>
      <c r="B6" s="25"/>
      <c r="C6" s="26"/>
      <c r="D6" s="26"/>
      <c r="E6" s="26"/>
      <c r="F6" s="13"/>
      <c r="G6" s="34"/>
      <c r="H6" s="35"/>
      <c r="I6" s="35"/>
      <c r="J6" s="36"/>
      <c r="K6" s="13"/>
      <c r="L6" s="46"/>
      <c r="M6" s="47"/>
      <c r="N6" s="47"/>
      <c r="O6" s="48"/>
      <c r="P6" s="13"/>
      <c r="Q6" s="58"/>
      <c r="R6" s="59"/>
      <c r="S6" s="59"/>
      <c r="T6" s="60"/>
      <c r="U6" s="13"/>
    </row>
    <row r="7" spans="1:21" ht="14.4" customHeight="1" x14ac:dyDescent="0.3">
      <c r="A7" s="13"/>
      <c r="B7" s="27">
        <f>SUM(Sales_Data!J:J)</f>
        <v>525676070</v>
      </c>
      <c r="C7" s="28"/>
      <c r="D7" s="28"/>
      <c r="E7" s="28"/>
      <c r="F7" s="13"/>
      <c r="G7" s="37">
        <f>SUM(Sales_Data!L:L)</f>
        <v>489982634.75000042</v>
      </c>
      <c r="H7" s="38"/>
      <c r="I7" s="38"/>
      <c r="J7" s="39"/>
      <c r="K7" s="13"/>
      <c r="L7" s="49">
        <f>SUM(Sales_Data!N:N)</f>
        <v>184021609.82000044</v>
      </c>
      <c r="M7" s="50"/>
      <c r="N7" s="50"/>
      <c r="O7" s="51"/>
      <c r="P7" s="13"/>
      <c r="Q7" s="61">
        <f>AVERAGE(Sales_Data!O:O)</f>
        <v>37.464408333333374</v>
      </c>
      <c r="R7" s="62"/>
      <c r="S7" s="62"/>
      <c r="T7" s="63"/>
      <c r="U7" s="13"/>
    </row>
    <row r="8" spans="1:21" ht="14.4" customHeight="1" thickBot="1" x14ac:dyDescent="0.35">
      <c r="A8" s="13"/>
      <c r="B8" s="29"/>
      <c r="C8" s="30"/>
      <c r="D8" s="30"/>
      <c r="E8" s="30"/>
      <c r="F8" s="13"/>
      <c r="G8" s="40"/>
      <c r="H8" s="41"/>
      <c r="I8" s="41"/>
      <c r="J8" s="42"/>
      <c r="K8" s="13"/>
      <c r="L8" s="52"/>
      <c r="M8" s="53"/>
      <c r="N8" s="53"/>
      <c r="O8" s="54"/>
      <c r="P8" s="13"/>
      <c r="Q8" s="64"/>
      <c r="R8" s="65"/>
      <c r="S8" s="65"/>
      <c r="T8" s="66"/>
      <c r="U8" s="13"/>
    </row>
    <row r="9" spans="1:21" x14ac:dyDescent="0.3">
      <c r="A9" s="13"/>
      <c r="B9" s="13"/>
      <c r="C9" s="13"/>
      <c r="D9" s="13"/>
      <c r="E9" s="13"/>
      <c r="F9" s="13"/>
      <c r="G9" s="13"/>
      <c r="H9" s="13"/>
      <c r="I9" s="13"/>
      <c r="J9" s="13"/>
      <c r="K9" s="13"/>
      <c r="L9" s="13"/>
      <c r="M9" s="13"/>
      <c r="N9" s="13"/>
      <c r="O9" s="13"/>
      <c r="P9" s="13"/>
      <c r="Q9" s="13"/>
      <c r="R9" s="13"/>
      <c r="S9" s="13"/>
      <c r="T9" s="13"/>
      <c r="U9" s="13"/>
    </row>
    <row r="10" spans="1:21" x14ac:dyDescent="0.3">
      <c r="A10" s="13"/>
      <c r="B10" s="13"/>
      <c r="C10" s="13"/>
      <c r="D10" s="13"/>
      <c r="E10" s="13"/>
      <c r="F10" s="13"/>
      <c r="G10" s="13"/>
      <c r="H10" s="13"/>
      <c r="I10" s="13"/>
      <c r="J10" s="13"/>
      <c r="K10" s="13"/>
      <c r="L10" s="13"/>
      <c r="M10" s="13"/>
      <c r="N10" s="13"/>
      <c r="O10" s="13"/>
      <c r="P10" s="13"/>
      <c r="Q10" s="13"/>
      <c r="R10" s="13"/>
      <c r="S10" s="13"/>
      <c r="T10" s="13"/>
      <c r="U10" s="13"/>
    </row>
    <row r="11" spans="1:21" x14ac:dyDescent="0.3">
      <c r="A11" s="13"/>
      <c r="B11" s="13"/>
      <c r="C11" s="13"/>
      <c r="D11" s="13"/>
      <c r="E11" s="13"/>
      <c r="F11" s="13"/>
      <c r="G11" s="13"/>
      <c r="H11" s="13"/>
      <c r="I11" s="13"/>
      <c r="J11" s="13"/>
      <c r="K11" s="13"/>
      <c r="L11" s="13"/>
      <c r="M11" s="13"/>
      <c r="N11" s="13"/>
      <c r="O11" s="13"/>
      <c r="P11" s="13"/>
      <c r="Q11" s="13"/>
      <c r="R11" s="13"/>
      <c r="S11" s="13"/>
      <c r="T11" s="13"/>
      <c r="U11" s="13"/>
    </row>
    <row r="12" spans="1:21" x14ac:dyDescent="0.3">
      <c r="A12" s="13"/>
      <c r="B12" s="13"/>
      <c r="C12" s="13"/>
      <c r="D12" s="13"/>
      <c r="E12" s="13"/>
      <c r="F12" s="13"/>
      <c r="G12" s="13"/>
      <c r="H12" s="13"/>
      <c r="I12" s="13"/>
      <c r="J12" s="13"/>
      <c r="K12" s="13"/>
      <c r="L12" s="13"/>
      <c r="M12" s="13"/>
      <c r="N12" s="13"/>
      <c r="O12" s="13"/>
      <c r="P12" s="13"/>
      <c r="Q12" s="13"/>
      <c r="R12" s="13"/>
      <c r="S12" s="13"/>
      <c r="T12" s="13"/>
      <c r="U12" s="13"/>
    </row>
    <row r="13" spans="1:21" x14ac:dyDescent="0.3">
      <c r="A13" s="13"/>
      <c r="B13" s="13"/>
      <c r="C13" s="13"/>
      <c r="D13" s="13"/>
      <c r="E13" s="13"/>
      <c r="F13" s="13"/>
      <c r="G13" s="13"/>
      <c r="H13" s="13"/>
      <c r="I13" s="13"/>
      <c r="J13" s="13"/>
      <c r="K13" s="13"/>
      <c r="L13" s="13"/>
      <c r="M13" s="13"/>
      <c r="N13" s="13"/>
      <c r="O13" s="13"/>
      <c r="P13" s="13"/>
      <c r="Q13" s="13"/>
      <c r="R13" s="13"/>
      <c r="S13" s="13"/>
      <c r="T13" s="13"/>
      <c r="U13" s="13"/>
    </row>
    <row r="14" spans="1:21" x14ac:dyDescent="0.3">
      <c r="A14" s="13"/>
      <c r="B14" s="13"/>
      <c r="C14" s="13"/>
      <c r="D14" s="13"/>
      <c r="E14" s="13"/>
      <c r="F14" s="13"/>
      <c r="G14" s="13"/>
      <c r="H14" s="13"/>
      <c r="I14" s="13"/>
      <c r="J14" s="13"/>
      <c r="K14" s="13"/>
      <c r="L14" s="13"/>
      <c r="M14" s="13"/>
      <c r="N14" s="13"/>
      <c r="O14" s="13"/>
      <c r="P14" s="13"/>
      <c r="Q14" s="13"/>
      <c r="R14" s="13"/>
      <c r="S14" s="13"/>
      <c r="T14" s="13"/>
      <c r="U14" s="13"/>
    </row>
    <row r="15" spans="1:21" x14ac:dyDescent="0.3">
      <c r="A15" s="13"/>
      <c r="B15" s="13"/>
      <c r="C15" s="13"/>
      <c r="D15" s="13"/>
      <c r="E15" s="13"/>
      <c r="F15" s="13"/>
      <c r="G15" s="13"/>
      <c r="H15" s="13"/>
      <c r="I15" s="13"/>
      <c r="J15" s="13"/>
      <c r="K15" s="13"/>
      <c r="L15" s="13"/>
      <c r="M15" s="13"/>
      <c r="N15" s="13"/>
      <c r="O15" s="13"/>
      <c r="P15" s="13"/>
      <c r="Q15" s="13"/>
      <c r="R15" s="13"/>
      <c r="S15" s="13"/>
      <c r="T15" s="13"/>
      <c r="U15" s="13"/>
    </row>
    <row r="16" spans="1:21" x14ac:dyDescent="0.3">
      <c r="A16" s="13"/>
      <c r="B16" s="13"/>
      <c r="C16" s="13"/>
      <c r="D16" s="13"/>
      <c r="E16" s="13"/>
      <c r="F16" s="13"/>
      <c r="G16" s="13"/>
      <c r="H16" s="13"/>
      <c r="I16" s="13"/>
      <c r="J16" s="13"/>
      <c r="K16" s="13"/>
      <c r="L16" s="13"/>
      <c r="M16" s="13"/>
      <c r="N16" s="13"/>
      <c r="O16" s="13"/>
      <c r="P16" s="13"/>
      <c r="Q16" s="13"/>
      <c r="R16" s="13"/>
      <c r="S16" s="13"/>
      <c r="T16" s="13"/>
      <c r="U16" s="13"/>
    </row>
    <row r="17" spans="1:21" x14ac:dyDescent="0.3">
      <c r="A17" s="13"/>
      <c r="B17" s="13"/>
      <c r="C17" s="13"/>
      <c r="D17" s="13"/>
      <c r="E17" s="13"/>
      <c r="F17" s="13"/>
      <c r="G17" s="13"/>
      <c r="H17" s="13"/>
      <c r="I17" s="13"/>
      <c r="J17" s="13"/>
      <c r="K17" s="13"/>
      <c r="L17" s="13"/>
      <c r="M17" s="13"/>
      <c r="N17" s="13"/>
      <c r="O17" s="13"/>
      <c r="P17" s="13"/>
      <c r="Q17" s="13"/>
      <c r="R17" s="13"/>
      <c r="S17" s="13"/>
      <c r="T17" s="13"/>
      <c r="U17" s="13"/>
    </row>
    <row r="18" spans="1:21" x14ac:dyDescent="0.3">
      <c r="A18" s="13"/>
      <c r="B18" s="13"/>
      <c r="C18" s="13"/>
      <c r="D18" s="13"/>
      <c r="E18" s="13"/>
      <c r="F18" s="13"/>
      <c r="G18" s="13"/>
      <c r="H18" s="13"/>
      <c r="I18" s="13"/>
      <c r="J18" s="13"/>
      <c r="K18" s="13"/>
      <c r="L18" s="13"/>
      <c r="M18" s="13"/>
      <c r="N18" s="13"/>
      <c r="O18" s="13"/>
      <c r="P18" s="13"/>
      <c r="Q18" s="13"/>
      <c r="R18" s="13"/>
      <c r="S18" s="13"/>
      <c r="T18" s="13"/>
      <c r="U18" s="13"/>
    </row>
    <row r="19" spans="1:21" x14ac:dyDescent="0.3">
      <c r="A19" s="13"/>
      <c r="B19" s="13"/>
      <c r="C19" s="13"/>
      <c r="D19" s="13"/>
      <c r="E19" s="13"/>
      <c r="F19" s="13"/>
      <c r="G19" s="13"/>
      <c r="H19" s="13"/>
      <c r="I19" s="13"/>
      <c r="J19" s="13"/>
      <c r="K19" s="13"/>
      <c r="L19" s="13"/>
      <c r="M19" s="13"/>
      <c r="N19" s="13"/>
      <c r="O19" s="13"/>
      <c r="P19" s="13"/>
      <c r="Q19" s="13"/>
      <c r="R19" s="13"/>
      <c r="S19" s="13"/>
      <c r="T19" s="13"/>
      <c r="U19" s="13"/>
    </row>
    <row r="20" spans="1:21" x14ac:dyDescent="0.3">
      <c r="A20" s="13"/>
      <c r="B20" s="13"/>
      <c r="C20" s="13"/>
      <c r="D20" s="13"/>
      <c r="E20" s="13"/>
      <c r="F20" s="13"/>
      <c r="G20" s="13"/>
      <c r="H20" s="13"/>
      <c r="I20" s="13"/>
      <c r="J20" s="13"/>
      <c r="K20" s="13"/>
      <c r="L20" s="13"/>
      <c r="M20" s="13"/>
      <c r="N20" s="13"/>
      <c r="O20" s="13"/>
      <c r="P20" s="13"/>
      <c r="Q20" s="13"/>
      <c r="R20" s="13"/>
      <c r="S20" s="13"/>
      <c r="T20" s="13"/>
      <c r="U20" s="13"/>
    </row>
    <row r="21" spans="1:21" x14ac:dyDescent="0.3">
      <c r="A21" s="13"/>
      <c r="B21" s="13"/>
      <c r="C21" s="13"/>
      <c r="D21" s="13"/>
      <c r="E21" s="13"/>
      <c r="F21" s="13"/>
      <c r="G21" s="13"/>
      <c r="H21" s="13"/>
      <c r="I21" s="13"/>
      <c r="J21" s="13"/>
      <c r="K21" s="13"/>
      <c r="L21" s="13"/>
      <c r="M21" s="13"/>
      <c r="N21" s="13"/>
      <c r="O21" s="13"/>
      <c r="P21" s="13"/>
      <c r="Q21" s="13"/>
      <c r="R21" s="13"/>
      <c r="S21" s="13"/>
      <c r="T21" s="13"/>
      <c r="U21" s="13"/>
    </row>
    <row r="22" spans="1:21" x14ac:dyDescent="0.3">
      <c r="A22" s="13"/>
      <c r="B22" s="13"/>
      <c r="C22" s="13"/>
      <c r="D22" s="13"/>
      <c r="E22" s="13"/>
      <c r="F22" s="13"/>
      <c r="G22" s="13"/>
      <c r="H22" s="13"/>
      <c r="I22" s="13"/>
      <c r="J22" s="13"/>
      <c r="K22" s="13"/>
      <c r="L22" s="13"/>
      <c r="M22" s="13"/>
      <c r="N22" s="13"/>
      <c r="O22" s="13"/>
      <c r="P22" s="13"/>
      <c r="Q22" s="13"/>
      <c r="R22" s="13"/>
      <c r="S22" s="13"/>
      <c r="T22" s="13"/>
      <c r="U22" s="13"/>
    </row>
    <row r="23" spans="1:21" x14ac:dyDescent="0.3">
      <c r="A23" s="13"/>
      <c r="B23" s="13"/>
      <c r="C23" s="13"/>
      <c r="D23" s="13"/>
      <c r="E23" s="13"/>
      <c r="F23" s="13"/>
      <c r="G23" s="13"/>
      <c r="H23" s="13"/>
      <c r="I23" s="13"/>
      <c r="J23" s="13"/>
      <c r="K23" s="13"/>
      <c r="L23" s="13"/>
      <c r="M23" s="13"/>
      <c r="N23" s="13"/>
      <c r="O23" s="13"/>
      <c r="P23" s="13"/>
      <c r="Q23" s="13"/>
      <c r="R23" s="13"/>
      <c r="S23" s="13"/>
      <c r="T23" s="13"/>
      <c r="U23" s="13"/>
    </row>
    <row r="24" spans="1:21" x14ac:dyDescent="0.3">
      <c r="A24" s="13"/>
      <c r="B24" s="13"/>
      <c r="C24" s="13"/>
      <c r="D24" s="13"/>
      <c r="E24" s="13"/>
      <c r="F24" s="13"/>
      <c r="G24" s="13"/>
      <c r="H24" s="13"/>
      <c r="I24" s="13"/>
      <c r="J24" s="13"/>
      <c r="K24" s="13"/>
      <c r="L24" s="13"/>
      <c r="M24" s="13"/>
      <c r="N24" s="13"/>
      <c r="O24" s="13"/>
      <c r="P24" s="13"/>
      <c r="Q24" s="13"/>
      <c r="R24" s="13"/>
      <c r="S24" s="13"/>
      <c r="T24" s="13"/>
      <c r="U24" s="13"/>
    </row>
    <row r="25" spans="1:21" x14ac:dyDescent="0.3">
      <c r="A25" s="13"/>
      <c r="B25" s="13"/>
      <c r="C25" s="13"/>
      <c r="D25" s="13"/>
      <c r="E25" s="13"/>
      <c r="F25" s="13"/>
      <c r="G25" s="13"/>
      <c r="H25" s="13"/>
      <c r="I25" s="13"/>
      <c r="J25" s="13"/>
      <c r="K25" s="13"/>
      <c r="L25" s="13"/>
      <c r="M25" s="13"/>
      <c r="N25" s="13"/>
      <c r="O25" s="13"/>
      <c r="P25" s="13"/>
      <c r="Q25" s="13"/>
      <c r="R25" s="13"/>
      <c r="S25" s="13"/>
      <c r="T25" s="13"/>
      <c r="U25" s="13"/>
    </row>
    <row r="26" spans="1:21" x14ac:dyDescent="0.3">
      <c r="A26" s="13"/>
      <c r="B26" s="13"/>
      <c r="C26" s="13"/>
      <c r="D26" s="13"/>
      <c r="E26" s="13"/>
      <c r="F26" s="13"/>
      <c r="G26" s="13"/>
      <c r="H26" s="13"/>
      <c r="I26" s="13"/>
      <c r="J26" s="13"/>
      <c r="K26" s="13"/>
      <c r="L26" s="13"/>
      <c r="M26" s="13"/>
      <c r="N26" s="13"/>
      <c r="O26" s="13"/>
      <c r="P26" s="13"/>
      <c r="Q26" s="13"/>
      <c r="R26" s="13"/>
      <c r="S26" s="13"/>
      <c r="T26" s="13"/>
      <c r="U26" s="13"/>
    </row>
    <row r="27" spans="1:21" x14ac:dyDescent="0.3">
      <c r="A27" s="13"/>
      <c r="B27" s="13"/>
      <c r="C27" s="13"/>
      <c r="D27" s="13"/>
      <c r="E27" s="13"/>
      <c r="F27" s="13"/>
      <c r="G27" s="13"/>
      <c r="H27" s="13"/>
      <c r="I27" s="13"/>
      <c r="J27" s="13"/>
      <c r="K27" s="13"/>
      <c r="L27" s="13"/>
      <c r="M27" s="13"/>
      <c r="N27" s="13"/>
      <c r="O27" s="13"/>
      <c r="P27" s="13"/>
      <c r="Q27" s="13"/>
      <c r="R27" s="13"/>
      <c r="S27" s="13"/>
      <c r="T27" s="13"/>
      <c r="U27" s="13"/>
    </row>
    <row r="28" spans="1:21" x14ac:dyDescent="0.3">
      <c r="A28" s="13"/>
      <c r="B28" s="13"/>
      <c r="C28" s="13"/>
      <c r="D28" s="13"/>
      <c r="E28" s="13"/>
      <c r="F28" s="13"/>
      <c r="G28" s="13"/>
      <c r="H28" s="13"/>
      <c r="I28" s="13"/>
      <c r="J28" s="13"/>
      <c r="K28" s="13"/>
      <c r="L28" s="13"/>
      <c r="M28" s="13"/>
      <c r="N28" s="13"/>
      <c r="O28" s="13"/>
      <c r="P28" s="13"/>
      <c r="Q28" s="13"/>
      <c r="R28" s="13"/>
      <c r="S28" s="13"/>
      <c r="T28" s="13"/>
      <c r="U28" s="13"/>
    </row>
    <row r="29" spans="1:21" x14ac:dyDescent="0.3">
      <c r="A29" s="13"/>
      <c r="B29" s="13"/>
      <c r="C29" s="13"/>
      <c r="D29" s="13"/>
      <c r="E29" s="13"/>
      <c r="F29" s="13"/>
      <c r="G29" s="13"/>
      <c r="H29" s="13"/>
      <c r="I29" s="13"/>
      <c r="J29" s="13"/>
      <c r="K29" s="13"/>
      <c r="L29" s="13"/>
      <c r="M29" s="13"/>
      <c r="N29" s="13"/>
      <c r="O29" s="13"/>
      <c r="P29" s="13"/>
      <c r="Q29" s="13"/>
      <c r="R29" s="13"/>
      <c r="S29" s="13"/>
      <c r="T29" s="13"/>
      <c r="U29" s="13"/>
    </row>
    <row r="30" spans="1:21" x14ac:dyDescent="0.3">
      <c r="A30" s="13"/>
      <c r="B30" s="13"/>
      <c r="C30" s="13"/>
      <c r="D30" s="13"/>
      <c r="E30" s="13"/>
      <c r="F30" s="13"/>
      <c r="G30" s="13"/>
      <c r="H30" s="13"/>
      <c r="I30" s="13"/>
      <c r="J30" s="13"/>
      <c r="K30" s="13"/>
      <c r="L30" s="13"/>
      <c r="M30" s="13"/>
      <c r="N30" s="13"/>
      <c r="O30" s="13"/>
      <c r="P30" s="13"/>
      <c r="Q30" s="13"/>
      <c r="R30" s="13"/>
      <c r="S30" s="13"/>
      <c r="T30" s="13"/>
      <c r="U30" s="13"/>
    </row>
    <row r="31" spans="1:21" x14ac:dyDescent="0.3">
      <c r="A31" s="13"/>
      <c r="B31" s="13"/>
      <c r="C31" s="13"/>
      <c r="D31" s="13"/>
      <c r="E31" s="13"/>
      <c r="F31" s="13"/>
      <c r="G31" s="13"/>
      <c r="H31" s="13"/>
      <c r="I31" s="13"/>
      <c r="J31" s="13"/>
      <c r="K31" s="13"/>
      <c r="L31" s="13"/>
      <c r="M31" s="13"/>
      <c r="N31" s="13"/>
      <c r="O31" s="13"/>
      <c r="P31" s="13"/>
      <c r="Q31" s="13"/>
      <c r="R31" s="13"/>
      <c r="S31" s="13"/>
      <c r="T31" s="13"/>
      <c r="U31" s="13"/>
    </row>
    <row r="32" spans="1:21" x14ac:dyDescent="0.3">
      <c r="A32" s="13"/>
      <c r="B32" s="13"/>
      <c r="C32" s="13"/>
      <c r="D32" s="13"/>
      <c r="E32" s="13"/>
      <c r="F32" s="13"/>
      <c r="G32" s="13"/>
      <c r="H32" s="13"/>
      <c r="I32" s="13"/>
      <c r="J32" s="13"/>
      <c r="K32" s="13"/>
      <c r="L32" s="13"/>
      <c r="M32" s="13"/>
      <c r="N32" s="13"/>
      <c r="O32" s="13"/>
      <c r="P32" s="13"/>
      <c r="Q32" s="13"/>
      <c r="R32" s="13"/>
      <c r="S32" s="13"/>
      <c r="T32" s="13"/>
      <c r="U32" s="13"/>
    </row>
    <row r="33" spans="1:21" x14ac:dyDescent="0.3">
      <c r="A33" s="13"/>
      <c r="B33" s="13"/>
      <c r="C33" s="13"/>
      <c r="D33" s="13"/>
      <c r="E33" s="13"/>
      <c r="F33" s="13"/>
      <c r="G33" s="13"/>
      <c r="H33" s="13"/>
      <c r="I33" s="13"/>
      <c r="J33" s="13"/>
      <c r="K33" s="13"/>
      <c r="L33" s="13"/>
      <c r="M33" s="13"/>
      <c r="N33" s="13"/>
      <c r="O33" s="13"/>
      <c r="P33" s="13"/>
      <c r="Q33" s="13"/>
      <c r="R33" s="13"/>
      <c r="S33" s="13"/>
      <c r="T33" s="13"/>
      <c r="U33" s="13"/>
    </row>
    <row r="34" spans="1:21" x14ac:dyDescent="0.3">
      <c r="A34" s="13"/>
      <c r="B34" s="13"/>
      <c r="C34" s="13"/>
      <c r="D34" s="13"/>
      <c r="E34" s="13"/>
      <c r="F34" s="13"/>
      <c r="G34" s="13"/>
      <c r="H34" s="13"/>
      <c r="I34" s="13"/>
      <c r="J34" s="13"/>
      <c r="K34" s="13"/>
      <c r="L34" s="13"/>
      <c r="M34" s="13"/>
      <c r="N34" s="13"/>
      <c r="O34" s="13"/>
      <c r="P34" s="13"/>
      <c r="Q34" s="13"/>
      <c r="R34" s="13"/>
      <c r="S34" s="13"/>
      <c r="T34" s="13"/>
      <c r="U34" s="13"/>
    </row>
    <row r="35" spans="1:21" x14ac:dyDescent="0.3">
      <c r="A35" s="13"/>
      <c r="B35" s="13"/>
      <c r="C35" s="13"/>
      <c r="D35" s="13"/>
      <c r="E35" s="13"/>
      <c r="F35" s="13"/>
      <c r="G35" s="13"/>
      <c r="H35" s="13"/>
      <c r="I35" s="13"/>
      <c r="J35" s="13"/>
      <c r="K35" s="13"/>
      <c r="L35" s="13"/>
      <c r="M35" s="13"/>
      <c r="N35" s="13"/>
      <c r="O35" s="13"/>
      <c r="P35" s="13"/>
      <c r="Q35" s="13"/>
      <c r="R35" s="13"/>
      <c r="S35" s="13"/>
      <c r="T35" s="13"/>
      <c r="U35" s="13"/>
    </row>
    <row r="36" spans="1:21" x14ac:dyDescent="0.3">
      <c r="A36" s="13"/>
      <c r="B36" s="13"/>
      <c r="C36" s="13"/>
      <c r="D36" s="13"/>
      <c r="E36" s="13"/>
      <c r="F36" s="13"/>
      <c r="G36" s="13"/>
      <c r="H36" s="13"/>
      <c r="I36" s="13"/>
      <c r="J36" s="13"/>
      <c r="K36" s="13"/>
      <c r="L36" s="13"/>
      <c r="M36" s="13"/>
      <c r="N36" s="13"/>
      <c r="O36" s="13"/>
      <c r="P36" s="13"/>
      <c r="Q36" s="13"/>
      <c r="R36" s="13"/>
      <c r="S36" s="13"/>
      <c r="T36" s="13"/>
      <c r="U36" s="13"/>
    </row>
    <row r="37" spans="1:21" x14ac:dyDescent="0.3">
      <c r="A37" s="13"/>
      <c r="B37" s="13"/>
      <c r="C37" s="13"/>
      <c r="D37" s="13"/>
      <c r="E37" s="13"/>
      <c r="F37" s="13"/>
      <c r="G37" s="13"/>
      <c r="H37" s="13"/>
      <c r="I37" s="13"/>
      <c r="J37" s="13"/>
      <c r="K37" s="13"/>
      <c r="L37" s="13"/>
      <c r="M37" s="13"/>
      <c r="N37" s="13"/>
      <c r="O37" s="13"/>
      <c r="P37" s="13"/>
      <c r="Q37" s="13"/>
      <c r="R37" s="13"/>
      <c r="S37" s="13"/>
      <c r="T37" s="13"/>
      <c r="U37" s="13"/>
    </row>
    <row r="38" spans="1:21" x14ac:dyDescent="0.3">
      <c r="A38" s="13"/>
      <c r="B38" s="13"/>
      <c r="C38" s="13"/>
      <c r="D38" s="13"/>
      <c r="E38" s="13"/>
      <c r="F38" s="13"/>
      <c r="G38" s="13"/>
      <c r="H38" s="13"/>
      <c r="I38" s="13"/>
      <c r="J38" s="13"/>
      <c r="K38" s="13"/>
      <c r="L38" s="13"/>
      <c r="M38" s="13"/>
      <c r="N38" s="13"/>
      <c r="O38" s="13"/>
      <c r="P38" s="13"/>
      <c r="Q38" s="13"/>
      <c r="R38" s="13"/>
      <c r="S38" s="13"/>
      <c r="T38" s="13"/>
      <c r="U38" s="13"/>
    </row>
    <row r="39" spans="1:21" x14ac:dyDescent="0.3">
      <c r="A39" s="13"/>
      <c r="B39" s="13"/>
      <c r="C39" s="13"/>
      <c r="D39" s="13"/>
      <c r="E39" s="13"/>
      <c r="F39" s="13"/>
      <c r="G39" s="13"/>
      <c r="H39" s="13"/>
      <c r="I39" s="13"/>
      <c r="J39" s="13"/>
      <c r="K39" s="13"/>
      <c r="L39" s="13"/>
      <c r="M39" s="13"/>
      <c r="N39" s="13"/>
      <c r="O39" s="13"/>
      <c r="P39" s="13"/>
      <c r="Q39" s="13"/>
      <c r="R39" s="13"/>
      <c r="S39" s="13"/>
      <c r="T39" s="13"/>
      <c r="U39" s="13"/>
    </row>
    <row r="40" spans="1:21" ht="15.6" x14ac:dyDescent="0.3">
      <c r="A40" s="21" t="s">
        <v>98</v>
      </c>
      <c r="B40" s="22"/>
      <c r="C40" s="22"/>
      <c r="D40" s="22"/>
      <c r="E40" s="22"/>
      <c r="F40" s="22"/>
      <c r="G40" s="22"/>
      <c r="H40" s="22"/>
      <c r="I40" s="22"/>
      <c r="J40" s="22"/>
      <c r="K40" s="22"/>
      <c r="L40" s="22"/>
      <c r="M40" s="22"/>
      <c r="N40" s="22"/>
      <c r="O40" s="22"/>
      <c r="P40" s="22"/>
      <c r="Q40" s="22"/>
      <c r="R40" s="22"/>
      <c r="S40" s="22"/>
      <c r="T40" s="22"/>
      <c r="U40" s="22"/>
    </row>
    <row r="41" spans="1:21" x14ac:dyDescent="0.3">
      <c r="A41" s="13"/>
      <c r="B41" s="16" t="s">
        <v>99</v>
      </c>
      <c r="C41" s="16"/>
      <c r="D41" s="16"/>
      <c r="E41" s="16"/>
      <c r="F41" s="13"/>
      <c r="G41" s="16" t="s">
        <v>100</v>
      </c>
      <c r="H41" s="17"/>
      <c r="I41" s="17"/>
      <c r="J41" s="17"/>
      <c r="K41" s="13"/>
      <c r="L41" s="16" t="s">
        <v>101</v>
      </c>
      <c r="M41" s="17"/>
      <c r="N41" s="17"/>
      <c r="O41" s="17"/>
      <c r="P41" s="13"/>
      <c r="Q41" s="16" t="s">
        <v>102</v>
      </c>
      <c r="R41" s="17"/>
      <c r="S41" s="17"/>
      <c r="T41" s="17"/>
      <c r="U41" s="13"/>
    </row>
    <row r="42" spans="1:21" x14ac:dyDescent="0.3">
      <c r="A42" s="13"/>
      <c r="B42" s="18" t="str">
        <f>INDEX(Monthly_Sales!A4:A15, MATCH(MAX(Monthly_Sales!B4:B15), Monthly_Sales!B4:B15, 0))</f>
        <v>Dec</v>
      </c>
      <c r="C42" s="18"/>
      <c r="D42" s="18"/>
      <c r="E42" s="18"/>
      <c r="F42" s="13"/>
      <c r="G42" s="19" t="str">
        <f>INDEX(Category_Sales!A5:A9, MATCH(MAX(Category_Sales!F5:F9), Category_Sales!F5:F9, 0))</f>
        <v>Furniture</v>
      </c>
      <c r="H42" s="19"/>
      <c r="I42" s="19"/>
      <c r="J42" s="19"/>
      <c r="K42" s="13"/>
      <c r="L42" s="19" t="str">
        <f>INDEX(Regional_Sales!A4:A7, MATCH(MAX(Regional_Sales!B4:B7), Regional_Sales!B4:B7, 0))</f>
        <v>East</v>
      </c>
      <c r="M42" s="19"/>
      <c r="N42" s="19"/>
      <c r="O42" s="19"/>
      <c r="P42" s="13"/>
      <c r="Q42" s="19" t="str">
        <f>INDEX(Sheet6!E26:E29, MATCH(MAX(Sheet6!F26:F29), Sheet6!F26:F29,0))</f>
        <v>Q4</v>
      </c>
      <c r="R42" s="19"/>
      <c r="S42" s="19"/>
      <c r="T42" s="19"/>
      <c r="U42" s="13"/>
    </row>
    <row r="44" spans="1:21" x14ac:dyDescent="0.3">
      <c r="H44" s="15"/>
    </row>
  </sheetData>
  <mergeCells count="18">
    <mergeCell ref="A1:U3"/>
    <mergeCell ref="A40:U40"/>
    <mergeCell ref="B5:E6"/>
    <mergeCell ref="B7:E8"/>
    <mergeCell ref="G5:J6"/>
    <mergeCell ref="G7:J8"/>
    <mergeCell ref="L5:O6"/>
    <mergeCell ref="L7:O8"/>
    <mergeCell ref="Q5:T6"/>
    <mergeCell ref="Q7:T8"/>
    <mergeCell ref="B41:E41"/>
    <mergeCell ref="G41:J41"/>
    <mergeCell ref="L41:O41"/>
    <mergeCell ref="Q41:T41"/>
    <mergeCell ref="B42:E42"/>
    <mergeCell ref="G42:J42"/>
    <mergeCell ref="L42:O42"/>
    <mergeCell ref="Q42:T4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DB08C-DBB6-4DAF-853A-319ED5ED1C0B}">
  <dimension ref="A3:C16"/>
  <sheetViews>
    <sheetView zoomScaleNormal="100" workbookViewId="0">
      <selection activeCell="E25" sqref="E25"/>
    </sheetView>
  </sheetViews>
  <sheetFormatPr defaultRowHeight="14.4" x14ac:dyDescent="0.3"/>
  <cols>
    <col min="1" max="1" width="12.44140625" bestFit="1" customWidth="1"/>
    <col min="2" max="2" width="19.44140625" bestFit="1" customWidth="1"/>
    <col min="3" max="3" width="15.77734375" bestFit="1" customWidth="1"/>
    <col min="4" max="13" width="12.44140625" bestFit="1" customWidth="1"/>
    <col min="14" max="14" width="13.5546875" bestFit="1" customWidth="1"/>
  </cols>
  <sheetData>
    <row r="3" spans="1:3" x14ac:dyDescent="0.3">
      <c r="A3" s="8" t="s">
        <v>86</v>
      </c>
      <c r="B3" t="s">
        <v>88</v>
      </c>
      <c r="C3" t="s">
        <v>89</v>
      </c>
    </row>
    <row r="4" spans="1:3" x14ac:dyDescent="0.3">
      <c r="A4" s="9" t="s">
        <v>63</v>
      </c>
      <c r="B4" s="10">
        <v>31228108.299999997</v>
      </c>
      <c r="C4" s="10">
        <v>11446894.52</v>
      </c>
    </row>
    <row r="5" spans="1:3" x14ac:dyDescent="0.3">
      <c r="A5" s="9" t="s">
        <v>24</v>
      </c>
      <c r="B5" s="10">
        <v>30423789.699999992</v>
      </c>
      <c r="C5" s="10">
        <v>11177483.470000003</v>
      </c>
    </row>
    <row r="6" spans="1:3" x14ac:dyDescent="0.3">
      <c r="A6" s="9" t="s">
        <v>53</v>
      </c>
      <c r="B6" s="10">
        <v>34319897.200000003</v>
      </c>
      <c r="C6" s="10">
        <v>13025303.35</v>
      </c>
    </row>
    <row r="7" spans="1:3" x14ac:dyDescent="0.3">
      <c r="A7" s="9" t="s">
        <v>58</v>
      </c>
      <c r="B7" s="10">
        <v>39904058.150000013</v>
      </c>
      <c r="C7" s="10">
        <v>14768691.799999997</v>
      </c>
    </row>
    <row r="8" spans="1:3" x14ac:dyDescent="0.3">
      <c r="A8" s="9" t="s">
        <v>55</v>
      </c>
      <c r="B8" s="10">
        <v>42018416.000000007</v>
      </c>
      <c r="C8" s="10">
        <v>15622678.400000004</v>
      </c>
    </row>
    <row r="9" spans="1:3" x14ac:dyDescent="0.3">
      <c r="A9" s="9" t="s">
        <v>74</v>
      </c>
      <c r="B9" s="10">
        <v>37970771.549999997</v>
      </c>
      <c r="C9" s="10">
        <v>14663622.489999991</v>
      </c>
    </row>
    <row r="10" spans="1:3" x14ac:dyDescent="0.3">
      <c r="A10" s="9" t="s">
        <v>17</v>
      </c>
      <c r="B10" s="10">
        <v>38465534.250000007</v>
      </c>
      <c r="C10" s="10">
        <v>14488293.289999999</v>
      </c>
    </row>
    <row r="11" spans="1:3" x14ac:dyDescent="0.3">
      <c r="A11" s="9" t="s">
        <v>31</v>
      </c>
      <c r="B11" s="10">
        <v>43529181.25</v>
      </c>
      <c r="C11" s="10">
        <v>16141594.260000004</v>
      </c>
    </row>
    <row r="12" spans="1:3" x14ac:dyDescent="0.3">
      <c r="A12" s="9" t="s">
        <v>71</v>
      </c>
      <c r="B12" s="10">
        <v>40714356.95000001</v>
      </c>
      <c r="C12" s="10">
        <v>15276208.050000003</v>
      </c>
    </row>
    <row r="13" spans="1:3" x14ac:dyDescent="0.3">
      <c r="A13" s="9" t="s">
        <v>35</v>
      </c>
      <c r="B13" s="10">
        <v>46957303.050000004</v>
      </c>
      <c r="C13" s="10">
        <v>17881797.70999999</v>
      </c>
    </row>
    <row r="14" spans="1:3" x14ac:dyDescent="0.3">
      <c r="A14" s="9" t="s">
        <v>77</v>
      </c>
      <c r="B14" s="10">
        <v>50980038.449999988</v>
      </c>
      <c r="C14" s="10">
        <v>19566003.359999999</v>
      </c>
    </row>
    <row r="15" spans="1:3" x14ac:dyDescent="0.3">
      <c r="A15" s="9" t="s">
        <v>47</v>
      </c>
      <c r="B15" s="10">
        <v>53471179.899999991</v>
      </c>
      <c r="C15" s="10">
        <v>19963039.119999994</v>
      </c>
    </row>
    <row r="16" spans="1:3" x14ac:dyDescent="0.3">
      <c r="A16" s="9" t="s">
        <v>87</v>
      </c>
      <c r="B16" s="10">
        <v>489982634.74999994</v>
      </c>
      <c r="C16" s="10">
        <v>184021609.81999999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CEA35-C674-4D67-B824-2381ABB779C9}">
  <dimension ref="A3:D8"/>
  <sheetViews>
    <sheetView topLeftCell="A2" zoomScaleNormal="100" workbookViewId="0">
      <selection activeCell="P14" sqref="P14"/>
    </sheetView>
  </sheetViews>
  <sheetFormatPr defaultRowHeight="14.4" x14ac:dyDescent="0.3"/>
  <cols>
    <col min="1" max="1" width="12.44140625" bestFit="1" customWidth="1"/>
    <col min="2" max="2" width="19.44140625" bestFit="1" customWidth="1"/>
    <col min="3" max="3" width="15.77734375" bestFit="1" customWidth="1"/>
    <col min="4" max="4" width="25.44140625" bestFit="1" customWidth="1"/>
  </cols>
  <sheetData>
    <row r="3" spans="1:4" x14ac:dyDescent="0.3">
      <c r="A3" s="8" t="s">
        <v>86</v>
      </c>
      <c r="B3" t="s">
        <v>88</v>
      </c>
      <c r="C3" t="s">
        <v>89</v>
      </c>
      <c r="D3" t="s">
        <v>90</v>
      </c>
    </row>
    <row r="4" spans="1:4" x14ac:dyDescent="0.3">
      <c r="A4" s="9" t="s">
        <v>42</v>
      </c>
      <c r="B4" s="10">
        <v>131037631.79999997</v>
      </c>
      <c r="C4" s="10">
        <v>48797925.009999983</v>
      </c>
      <c r="D4" s="11">
        <v>37.252399999999994</v>
      </c>
    </row>
    <row r="5" spans="1:4" x14ac:dyDescent="0.3">
      <c r="A5" s="9" t="s">
        <v>26</v>
      </c>
      <c r="B5" s="10">
        <v>127823425.84999995</v>
      </c>
      <c r="C5" s="10">
        <v>48478730.220000006</v>
      </c>
      <c r="D5" s="11">
        <v>37.430833333333332</v>
      </c>
    </row>
    <row r="6" spans="1:4" x14ac:dyDescent="0.3">
      <c r="A6" s="9" t="s">
        <v>19</v>
      </c>
      <c r="B6" s="10">
        <v>109064240.55000003</v>
      </c>
      <c r="C6" s="10">
        <v>41173732.92999997</v>
      </c>
      <c r="D6" s="11">
        <v>37.650400000000005</v>
      </c>
    </row>
    <row r="7" spans="1:4" x14ac:dyDescent="0.3">
      <c r="A7" s="9" t="s">
        <v>44</v>
      </c>
      <c r="B7" s="10">
        <v>122057336.54999994</v>
      </c>
      <c r="C7" s="10">
        <v>45571221.659999959</v>
      </c>
      <c r="D7" s="11">
        <v>37.523999999999994</v>
      </c>
    </row>
    <row r="8" spans="1:4" x14ac:dyDescent="0.3">
      <c r="A8" s="9" t="s">
        <v>87</v>
      </c>
      <c r="B8" s="10">
        <v>489982634.75000042</v>
      </c>
      <c r="C8" s="10">
        <v>184021609.82000002</v>
      </c>
      <c r="D8" s="11">
        <v>37.464408333333338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781D3-4D3A-4019-9586-C5583F482280}">
  <dimension ref="A3:G33"/>
  <sheetViews>
    <sheetView zoomScale="82" zoomScaleNormal="70" workbookViewId="0">
      <selection activeCell="F27" sqref="F27"/>
    </sheetView>
  </sheetViews>
  <sheetFormatPr defaultRowHeight="14.4" x14ac:dyDescent="0.3"/>
  <cols>
    <col min="1" max="1" width="13" bestFit="1" customWidth="1"/>
    <col min="2" max="2" width="19.77734375" bestFit="1" customWidth="1"/>
    <col min="3" max="4" width="8" bestFit="1" customWidth="1"/>
    <col min="5" max="5" width="13" bestFit="1" customWidth="1"/>
    <col min="6" max="7" width="19.77734375" bestFit="1" customWidth="1"/>
    <col min="8" max="8" width="16.109375" bestFit="1" customWidth="1"/>
  </cols>
  <sheetData>
    <row r="3" spans="1:7" x14ac:dyDescent="0.3">
      <c r="A3" s="8" t="s">
        <v>86</v>
      </c>
      <c r="B3" t="s">
        <v>88</v>
      </c>
      <c r="E3" s="8" t="s">
        <v>86</v>
      </c>
      <c r="F3" t="s">
        <v>88</v>
      </c>
    </row>
    <row r="4" spans="1:7" x14ac:dyDescent="0.3">
      <c r="A4" s="9" t="s">
        <v>63</v>
      </c>
      <c r="B4" s="10">
        <v>31228108.299999997</v>
      </c>
      <c r="E4" s="9" t="s">
        <v>29</v>
      </c>
      <c r="F4" s="10">
        <v>70473371.850000024</v>
      </c>
    </row>
    <row r="5" spans="1:7" x14ac:dyDescent="0.3">
      <c r="A5" s="9" t="s">
        <v>24</v>
      </c>
      <c r="B5" s="10">
        <v>30423789.699999992</v>
      </c>
      <c r="E5" s="9" t="s">
        <v>45</v>
      </c>
      <c r="F5" s="10">
        <v>68961323.399999976</v>
      </c>
    </row>
    <row r="6" spans="1:7" x14ac:dyDescent="0.3">
      <c r="A6" s="9" t="s">
        <v>53</v>
      </c>
      <c r="B6" s="10">
        <v>34319897.200000003</v>
      </c>
      <c r="E6" s="9" t="s">
        <v>61</v>
      </c>
      <c r="F6" s="10">
        <v>68360452.049999997</v>
      </c>
    </row>
    <row r="7" spans="1:7" x14ac:dyDescent="0.3">
      <c r="A7" s="9" t="s">
        <v>58</v>
      </c>
      <c r="B7" s="10">
        <v>39904058.150000013</v>
      </c>
      <c r="E7" s="9" t="s">
        <v>43</v>
      </c>
      <c r="F7" s="10">
        <v>64775215.800000012</v>
      </c>
    </row>
    <row r="8" spans="1:7" x14ac:dyDescent="0.3">
      <c r="A8" s="9" t="s">
        <v>55</v>
      </c>
      <c r="B8" s="10">
        <v>42018416.000000007</v>
      </c>
      <c r="E8" s="9" t="s">
        <v>50</v>
      </c>
      <c r="F8" s="10">
        <v>58492482.149999999</v>
      </c>
    </row>
    <row r="9" spans="1:7" x14ac:dyDescent="0.3">
      <c r="A9" s="9" t="s">
        <v>74</v>
      </c>
      <c r="B9" s="10">
        <v>37970771.549999997</v>
      </c>
      <c r="E9" s="9" t="s">
        <v>22</v>
      </c>
      <c r="F9" s="10">
        <v>57390290.600000009</v>
      </c>
    </row>
    <row r="10" spans="1:7" x14ac:dyDescent="0.3">
      <c r="A10" s="9" t="s">
        <v>17</v>
      </c>
      <c r="B10" s="10">
        <v>38465534.250000007</v>
      </c>
      <c r="E10" s="9" t="s">
        <v>41</v>
      </c>
      <c r="F10" s="10">
        <v>53202635.499999993</v>
      </c>
    </row>
    <row r="11" spans="1:7" x14ac:dyDescent="0.3">
      <c r="A11" s="9" t="s">
        <v>31</v>
      </c>
      <c r="B11" s="10">
        <v>43529181.25</v>
      </c>
      <c r="E11" s="9" t="s">
        <v>39</v>
      </c>
      <c r="F11" s="10">
        <v>48326863.399999999</v>
      </c>
    </row>
    <row r="12" spans="1:7" x14ac:dyDescent="0.3">
      <c r="A12" s="9" t="s">
        <v>71</v>
      </c>
      <c r="B12" s="10">
        <v>40714356.95000001</v>
      </c>
      <c r="E12" s="9" t="s">
        <v>87</v>
      </c>
      <c r="F12" s="10">
        <v>489982634.75</v>
      </c>
    </row>
    <row r="13" spans="1:7" x14ac:dyDescent="0.3">
      <c r="A13" s="9" t="s">
        <v>35</v>
      </c>
      <c r="B13" s="10">
        <v>46957303.050000004</v>
      </c>
    </row>
    <row r="14" spans="1:7" x14ac:dyDescent="0.3">
      <c r="A14" s="9" t="s">
        <v>77</v>
      </c>
      <c r="B14" s="10">
        <v>50980038.449999988</v>
      </c>
    </row>
    <row r="15" spans="1:7" x14ac:dyDescent="0.3">
      <c r="A15" s="9" t="s">
        <v>47</v>
      </c>
      <c r="B15" s="10">
        <v>53471179.899999991</v>
      </c>
    </row>
    <row r="16" spans="1:7" x14ac:dyDescent="0.3">
      <c r="A16" s="9" t="s">
        <v>87</v>
      </c>
      <c r="B16" s="10">
        <v>489982634.74999994</v>
      </c>
      <c r="E16" s="8" t="s">
        <v>86</v>
      </c>
      <c r="F16" t="s">
        <v>90</v>
      </c>
      <c r="G16" t="s">
        <v>88</v>
      </c>
    </row>
    <row r="17" spans="1:7" x14ac:dyDescent="0.3">
      <c r="E17" s="9">
        <v>0</v>
      </c>
      <c r="F17" s="11">
        <v>37.586155606407317</v>
      </c>
      <c r="G17" s="10">
        <v>193514590</v>
      </c>
    </row>
    <row r="18" spans="1:7" x14ac:dyDescent="0.3">
      <c r="E18" s="9">
        <v>5</v>
      </c>
      <c r="F18" s="11">
        <v>37.461174496644325</v>
      </c>
      <c r="G18" s="10">
        <v>126816091.84999995</v>
      </c>
    </row>
    <row r="19" spans="1:7" x14ac:dyDescent="0.3">
      <c r="A19" s="8" t="s">
        <v>86</v>
      </c>
      <c r="B19" t="s">
        <v>88</v>
      </c>
      <c r="E19" s="9">
        <v>10</v>
      </c>
      <c r="F19" s="11">
        <v>37.248571428571424</v>
      </c>
      <c r="G19" s="10">
        <v>63034436.700000003</v>
      </c>
    </row>
    <row r="20" spans="1:7" x14ac:dyDescent="0.3">
      <c r="A20" s="9" t="s">
        <v>42</v>
      </c>
      <c r="B20" s="10">
        <v>131037631.79999997</v>
      </c>
      <c r="E20" s="9">
        <v>15</v>
      </c>
      <c r="F20" s="11">
        <v>37.510503144654074</v>
      </c>
      <c r="G20" s="10">
        <v>63094496.999999993</v>
      </c>
    </row>
    <row r="21" spans="1:7" x14ac:dyDescent="0.3">
      <c r="A21" s="9" t="s">
        <v>26</v>
      </c>
      <c r="B21" s="10">
        <v>127823425.84999995</v>
      </c>
      <c r="E21" s="9">
        <v>20</v>
      </c>
      <c r="F21" s="11">
        <v>37.291184210526303</v>
      </c>
      <c r="G21" s="10">
        <v>43523019.199999996</v>
      </c>
    </row>
    <row r="22" spans="1:7" x14ac:dyDescent="0.3">
      <c r="A22" s="9" t="s">
        <v>19</v>
      </c>
      <c r="B22" s="10">
        <v>109064240.55000003</v>
      </c>
      <c r="E22" s="9" t="s">
        <v>87</v>
      </c>
      <c r="F22" s="11">
        <v>37.464408333333317</v>
      </c>
      <c r="G22" s="10">
        <v>489982634.75000072</v>
      </c>
    </row>
    <row r="23" spans="1:7" x14ac:dyDescent="0.3">
      <c r="A23" s="9" t="s">
        <v>44</v>
      </c>
      <c r="B23" s="10">
        <v>122057336.54999994</v>
      </c>
    </row>
    <row r="24" spans="1:7" x14ac:dyDescent="0.3">
      <c r="A24" s="9" t="s">
        <v>87</v>
      </c>
      <c r="B24" s="10">
        <v>489982634.74999988</v>
      </c>
    </row>
    <row r="25" spans="1:7" x14ac:dyDescent="0.3">
      <c r="E25" s="8" t="s">
        <v>86</v>
      </c>
      <c r="F25" t="s">
        <v>88</v>
      </c>
      <c r="G25" t="s">
        <v>89</v>
      </c>
    </row>
    <row r="26" spans="1:7" x14ac:dyDescent="0.3">
      <c r="E26" s="9" t="s">
        <v>25</v>
      </c>
      <c r="F26" s="10">
        <v>95971795.200000018</v>
      </c>
      <c r="G26" s="10">
        <v>35649681.339999989</v>
      </c>
    </row>
    <row r="27" spans="1:7" x14ac:dyDescent="0.3">
      <c r="A27" s="8" t="s">
        <v>86</v>
      </c>
      <c r="B27" t="s">
        <v>88</v>
      </c>
      <c r="E27" s="9" t="s">
        <v>56</v>
      </c>
      <c r="F27" s="10">
        <v>119893245.69999997</v>
      </c>
      <c r="G27" s="10">
        <v>45054992.68999999</v>
      </c>
    </row>
    <row r="28" spans="1:7" x14ac:dyDescent="0.3">
      <c r="A28" s="9" t="s">
        <v>37</v>
      </c>
      <c r="B28" s="12">
        <v>5.7916487212815462E-2</v>
      </c>
      <c r="E28" s="9" t="s">
        <v>18</v>
      </c>
      <c r="F28" s="10">
        <v>122709072.44999993</v>
      </c>
      <c r="G28" s="10">
        <v>45906095.599999979</v>
      </c>
    </row>
    <row r="29" spans="1:7" x14ac:dyDescent="0.3">
      <c r="A29" s="9" t="s">
        <v>27</v>
      </c>
      <c r="B29" s="12">
        <v>0.3599653317101561</v>
      </c>
      <c r="E29" s="9" t="s">
        <v>36</v>
      </c>
      <c r="F29" s="10">
        <v>151408521.40000001</v>
      </c>
      <c r="G29" s="10">
        <v>57410840.189999945</v>
      </c>
    </row>
    <row r="30" spans="1:7" x14ac:dyDescent="0.3">
      <c r="A30" s="9" t="s">
        <v>20</v>
      </c>
      <c r="B30" s="12">
        <v>5.4069010044646279E-3</v>
      </c>
      <c r="E30" s="9" t="s">
        <v>87</v>
      </c>
      <c r="F30" s="10">
        <v>489982634.74999988</v>
      </c>
      <c r="G30" s="10">
        <v>184021609.8199999</v>
      </c>
    </row>
    <row r="31" spans="1:7" x14ac:dyDescent="0.3">
      <c r="A31" s="9" t="s">
        <v>32</v>
      </c>
      <c r="B31" s="12">
        <v>0.50887565949601243</v>
      </c>
    </row>
    <row r="32" spans="1:7" x14ac:dyDescent="0.3">
      <c r="A32" s="9" t="s">
        <v>48</v>
      </c>
      <c r="B32" s="12">
        <v>6.7835620576551459E-2</v>
      </c>
    </row>
    <row r="33" spans="1:2" x14ac:dyDescent="0.3">
      <c r="A33" s="9" t="s">
        <v>87</v>
      </c>
      <c r="B33" s="12">
        <v>1</v>
      </c>
    </row>
  </sheetData>
  <pageMargins left="0.7" right="0.7" top="0.75" bottom="0.75" header="0.3" footer="0.3"/>
  <pageSetup orientation="portrait"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116DA-9405-49CD-8718-7D2359F96A02}">
  <dimension ref="A3:F10"/>
  <sheetViews>
    <sheetView topLeftCell="A9" workbookViewId="0">
      <selection activeCell="O19" sqref="O19"/>
    </sheetView>
  </sheetViews>
  <sheetFormatPr defaultRowHeight="14.4" x14ac:dyDescent="0.3"/>
  <cols>
    <col min="1" max="1" width="19.88671875" bestFit="1" customWidth="1"/>
    <col min="2" max="2" width="15" bestFit="1" customWidth="1"/>
    <col min="3" max="5" width="8" bestFit="1" customWidth="1"/>
    <col min="6" max="6" width="10.5546875" bestFit="1" customWidth="1"/>
  </cols>
  <sheetData>
    <row r="3" spans="1:6" x14ac:dyDescent="0.3">
      <c r="A3" s="8" t="s">
        <v>88</v>
      </c>
      <c r="B3" s="8" t="s">
        <v>91</v>
      </c>
    </row>
    <row r="4" spans="1:6" x14ac:dyDescent="0.3">
      <c r="A4" s="8" t="s">
        <v>86</v>
      </c>
      <c r="B4" t="s">
        <v>25</v>
      </c>
      <c r="C4" t="s">
        <v>56</v>
      </c>
      <c r="D4" t="s">
        <v>18</v>
      </c>
      <c r="E4" t="s">
        <v>36</v>
      </c>
      <c r="F4" t="s">
        <v>87</v>
      </c>
    </row>
    <row r="5" spans="1:6" x14ac:dyDescent="0.3">
      <c r="A5" s="9" t="s">
        <v>37</v>
      </c>
      <c r="B5" s="12">
        <v>5.532205466132617E-2</v>
      </c>
      <c r="C5" s="12">
        <v>5.6425781206455396E-2</v>
      </c>
      <c r="D5" s="12">
        <v>6.1550745182900282E-2</v>
      </c>
      <c r="E5" s="12">
        <v>5.7796028381266518E-2</v>
      </c>
      <c r="F5" s="12">
        <v>5.7916487212815448E-2</v>
      </c>
    </row>
    <row r="6" spans="1:6" x14ac:dyDescent="0.3">
      <c r="A6" s="9" t="s">
        <v>27</v>
      </c>
      <c r="B6" s="12">
        <v>0.33531731570652118</v>
      </c>
      <c r="C6" s="12">
        <v>0.34708030220588149</v>
      </c>
      <c r="D6" s="12">
        <v>0.36199704930619414</v>
      </c>
      <c r="E6" s="12">
        <v>0.38414516080202593</v>
      </c>
      <c r="F6" s="12">
        <v>0.35996533171015604</v>
      </c>
    </row>
    <row r="7" spans="1:6" x14ac:dyDescent="0.3">
      <c r="A7" s="9" t="s">
        <v>20</v>
      </c>
      <c r="B7" s="12">
        <v>6.1992828076222143E-3</v>
      </c>
      <c r="C7" s="12">
        <v>5.1916227337567194E-3</v>
      </c>
      <c r="D7" s="12">
        <v>5.1281530162034881E-3</v>
      </c>
      <c r="E7" s="12">
        <v>5.3010219806558382E-3</v>
      </c>
      <c r="F7" s="12">
        <v>5.4069010044646287E-3</v>
      </c>
    </row>
    <row r="8" spans="1:6" x14ac:dyDescent="0.3">
      <c r="A8" s="9" t="s">
        <v>32</v>
      </c>
      <c r="B8" s="12">
        <v>0.5318086521528359</v>
      </c>
      <c r="C8" s="12">
        <v>0.52451011717001172</v>
      </c>
      <c r="D8" s="12">
        <v>0.50294549634989116</v>
      </c>
      <c r="E8" s="12">
        <v>0.48676526901213107</v>
      </c>
      <c r="F8" s="12">
        <v>0.50887565949601243</v>
      </c>
    </row>
    <row r="9" spans="1:6" x14ac:dyDescent="0.3">
      <c r="A9" s="9" t="s">
        <v>48</v>
      </c>
      <c r="B9" s="12">
        <v>7.1352694671694528E-2</v>
      </c>
      <c r="C9" s="12">
        <v>6.6792176683894713E-2</v>
      </c>
      <c r="D9" s="12">
        <v>6.8378556144810948E-2</v>
      </c>
      <c r="E9" s="12">
        <v>6.5992519823920556E-2</v>
      </c>
      <c r="F9" s="12">
        <v>6.7835620576551445E-2</v>
      </c>
    </row>
    <row r="10" spans="1:6" x14ac:dyDescent="0.3">
      <c r="A10" s="9" t="s">
        <v>87</v>
      </c>
      <c r="B10" s="12">
        <v>1</v>
      </c>
      <c r="C10" s="12">
        <v>1</v>
      </c>
      <c r="D10" s="12">
        <v>1</v>
      </c>
      <c r="E10" s="12">
        <v>1</v>
      </c>
      <c r="F10" s="12">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3AB5E-C50F-4206-9247-026BF8B88A72}">
  <dimension ref="A3:D12"/>
  <sheetViews>
    <sheetView zoomScale="90" zoomScaleNormal="90" workbookViewId="0">
      <selection activeCell="O21" sqref="O21"/>
    </sheetView>
  </sheetViews>
  <sheetFormatPr defaultRowHeight="14.4" x14ac:dyDescent="0.3"/>
  <cols>
    <col min="1" max="1" width="13.109375" bestFit="1" customWidth="1"/>
    <col min="2" max="2" width="20.21875" bestFit="1" customWidth="1"/>
    <col min="3" max="3" width="16.5546875" bestFit="1" customWidth="1"/>
    <col min="4" max="4" width="16.77734375" bestFit="1" customWidth="1"/>
  </cols>
  <sheetData>
    <row r="3" spans="1:4" x14ac:dyDescent="0.3">
      <c r="A3" s="8" t="s">
        <v>86</v>
      </c>
      <c r="B3" t="s">
        <v>88</v>
      </c>
      <c r="C3" t="s">
        <v>89</v>
      </c>
      <c r="D3" t="s">
        <v>92</v>
      </c>
    </row>
    <row r="4" spans="1:4" x14ac:dyDescent="0.3">
      <c r="A4" s="9" t="s">
        <v>29</v>
      </c>
      <c r="B4" s="10">
        <v>70473371.850000024</v>
      </c>
      <c r="C4" s="10">
        <v>26142103.700000007</v>
      </c>
      <c r="D4">
        <v>151</v>
      </c>
    </row>
    <row r="5" spans="1:4" x14ac:dyDescent="0.3">
      <c r="A5" s="9" t="s">
        <v>45</v>
      </c>
      <c r="B5" s="10">
        <v>68961323.399999976</v>
      </c>
      <c r="C5" s="10">
        <v>26450805.779999979</v>
      </c>
      <c r="D5">
        <v>141</v>
      </c>
    </row>
    <row r="6" spans="1:4" x14ac:dyDescent="0.3">
      <c r="A6" s="9" t="s">
        <v>61</v>
      </c>
      <c r="B6" s="10">
        <v>68360452.049999997</v>
      </c>
      <c r="C6" s="10">
        <v>25084089.620000005</v>
      </c>
      <c r="D6">
        <v>162</v>
      </c>
    </row>
    <row r="7" spans="1:4" x14ac:dyDescent="0.3">
      <c r="A7" s="9" t="s">
        <v>43</v>
      </c>
      <c r="B7" s="10">
        <v>64775215.800000012</v>
      </c>
      <c r="C7" s="10">
        <v>24704568.350000016</v>
      </c>
      <c r="D7">
        <v>154</v>
      </c>
    </row>
    <row r="8" spans="1:4" x14ac:dyDescent="0.3">
      <c r="A8" s="9" t="s">
        <v>50</v>
      </c>
      <c r="B8" s="10">
        <v>58492482.149999999</v>
      </c>
      <c r="C8" s="10">
        <v>22116706.979999989</v>
      </c>
      <c r="D8">
        <v>162</v>
      </c>
    </row>
    <row r="9" spans="1:4" x14ac:dyDescent="0.3">
      <c r="A9" s="9" t="s">
        <v>22</v>
      </c>
      <c r="B9" s="10">
        <v>57390290.600000009</v>
      </c>
      <c r="C9" s="10">
        <v>21533105.610000003</v>
      </c>
      <c r="D9">
        <v>144</v>
      </c>
    </row>
    <row r="10" spans="1:4" x14ac:dyDescent="0.3">
      <c r="A10" s="9" t="s">
        <v>41</v>
      </c>
      <c r="B10" s="10">
        <v>53202635.499999993</v>
      </c>
      <c r="C10" s="10">
        <v>20367089.389999989</v>
      </c>
      <c r="D10">
        <v>134</v>
      </c>
    </row>
    <row r="11" spans="1:4" x14ac:dyDescent="0.3">
      <c r="A11" s="9" t="s">
        <v>39</v>
      </c>
      <c r="B11" s="10">
        <v>48326863.399999999</v>
      </c>
      <c r="C11" s="10">
        <v>17623140.389999993</v>
      </c>
      <c r="D11">
        <v>152</v>
      </c>
    </row>
    <row r="12" spans="1:4" x14ac:dyDescent="0.3">
      <c r="A12" s="9" t="s">
        <v>87</v>
      </c>
      <c r="B12" s="10">
        <v>489982634.75000054</v>
      </c>
      <c r="C12" s="10">
        <v>184021609.82000011</v>
      </c>
      <c r="D12">
        <v>1200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32C53-12C1-4C66-A68D-FE069FD35349}">
  <dimension ref="A3:D9"/>
  <sheetViews>
    <sheetView zoomScaleNormal="100" workbookViewId="0">
      <selection activeCell="B5" sqref="B5"/>
    </sheetView>
  </sheetViews>
  <sheetFormatPr defaultRowHeight="14.4" x14ac:dyDescent="0.3"/>
  <cols>
    <col min="1" max="1" width="12.44140625" bestFit="1" customWidth="1"/>
    <col min="2" max="2" width="25.44140625" bestFit="1" customWidth="1"/>
    <col min="3" max="3" width="19.44140625" bestFit="1" customWidth="1"/>
    <col min="4" max="4" width="16.109375" bestFit="1" customWidth="1"/>
    <col min="5" max="5" width="8.88671875" customWidth="1"/>
  </cols>
  <sheetData>
    <row r="3" spans="1:4" x14ac:dyDescent="0.3">
      <c r="A3" s="8" t="s">
        <v>86</v>
      </c>
      <c r="B3" t="s">
        <v>90</v>
      </c>
      <c r="C3" t="s">
        <v>88</v>
      </c>
      <c r="D3" t="s">
        <v>92</v>
      </c>
    </row>
    <row r="4" spans="1:4" x14ac:dyDescent="0.3">
      <c r="A4" s="9">
        <v>0</v>
      </c>
      <c r="B4" s="11">
        <v>37.586155606407317</v>
      </c>
      <c r="C4" s="10">
        <v>193514590</v>
      </c>
      <c r="D4">
        <v>437</v>
      </c>
    </row>
    <row r="5" spans="1:4" x14ac:dyDescent="0.3">
      <c r="A5" s="9">
        <v>5</v>
      </c>
      <c r="B5" s="11">
        <v>37.461174496644325</v>
      </c>
      <c r="C5" s="10">
        <v>126816091.84999995</v>
      </c>
      <c r="D5">
        <v>298</v>
      </c>
    </row>
    <row r="6" spans="1:4" x14ac:dyDescent="0.3">
      <c r="A6" s="9">
        <v>10</v>
      </c>
      <c r="B6" s="11">
        <v>37.248571428571424</v>
      </c>
      <c r="C6" s="10">
        <v>63034436.700000003</v>
      </c>
      <c r="D6">
        <v>154</v>
      </c>
    </row>
    <row r="7" spans="1:4" x14ac:dyDescent="0.3">
      <c r="A7" s="9">
        <v>15</v>
      </c>
      <c r="B7" s="11">
        <v>37.510503144654074</v>
      </c>
      <c r="C7" s="10">
        <v>63094496.999999993</v>
      </c>
      <c r="D7">
        <v>159</v>
      </c>
    </row>
    <row r="8" spans="1:4" x14ac:dyDescent="0.3">
      <c r="A8" s="9">
        <v>20</v>
      </c>
      <c r="B8" s="11">
        <v>37.291184210526303</v>
      </c>
      <c r="C8" s="10">
        <v>43523019.199999996</v>
      </c>
      <c r="D8">
        <v>152</v>
      </c>
    </row>
    <row r="9" spans="1:4" x14ac:dyDescent="0.3">
      <c r="A9" s="9" t="s">
        <v>87</v>
      </c>
      <c r="B9" s="11">
        <v>37.464408333333317</v>
      </c>
      <c r="C9" s="10">
        <v>489982634.75000072</v>
      </c>
      <c r="D9">
        <v>1200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Sales_Data</vt:lpstr>
      <vt:lpstr>Dashboard</vt:lpstr>
      <vt:lpstr>Monthly_Sales</vt:lpstr>
      <vt:lpstr>Regional_Sales</vt:lpstr>
      <vt:lpstr>Sheet6</vt:lpstr>
      <vt:lpstr>Category_Sales</vt:lpstr>
      <vt:lpstr>Salesperson_Performance</vt:lpstr>
      <vt:lpstr>Discount_Impact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PRITESH REKE</cp:lastModifiedBy>
  <dcterms:created xsi:type="dcterms:W3CDTF">2026-03-24T07:41:10Z</dcterms:created>
  <dcterms:modified xsi:type="dcterms:W3CDTF">2026-03-26T10:20:51Z</dcterms:modified>
</cp:coreProperties>
</file>